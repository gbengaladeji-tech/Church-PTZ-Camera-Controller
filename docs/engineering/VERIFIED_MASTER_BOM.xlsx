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8daf0cbdb14e41" /></Relationships>
</file>

<file path=xl/workbook.xml><?xml version="1.0" encoding="utf-8"?>
<x:workbook xmlns:x="http://schemas.openxmlformats.org/spreadsheetml/2006/main">
  <x:sheets>
    <x:sheet xmlns:r="http://schemas.openxmlformats.org/officeDocument/2006/relationships" name="Buy plan" sheetId="1" r:id="Rbb2dbc8dc2c54fa4"/>
    <x:sheet xmlns:r="http://schemas.openxmlformats.org/officeDocument/2006/relationships" name="Parts" sheetId="2" r:id="Rf8d9ebd5ac5e4570"/>
    <x:sheet xmlns:r="http://schemas.openxmlformats.org/officeDocument/2006/relationships" name="Legacy map" sheetId="3" r:id="R6a07ff0f5f6e490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quot;C$&quot;#,##0.0000"/>
    <x:numFmt numFmtId="202" formatCode="&quot;C$&quot;#,##0.00"/>
    <x:numFmt numFmtId="203" formatCode="yyyy-mm-dd"/>
    <x:numFmt numFmtId="204" formatCode="0%"/>
  </x:numFmts>
  <x:fonts count="6">
    <x:font>
      <x:sz val="11"/>
      <x:name val="Carlito"/>
    </x:font>
    <x:font>
      <x:sz val="10"/>
      <x:color rgb="FF182B45"/>
      <x:name val="Arial"/>
    </x:font>
    <x:font>
      <x:b/>
      <x:sz val="15"/>
      <x:color rgb="FF182B45"/>
      <x:name val="Arial"/>
    </x:font>
    <x:font>
      <x:i/>
      <x:sz val="10"/>
      <x:color rgb="FF59697A"/>
      <x:name val="Arial"/>
    </x:font>
    <x:font>
      <x:b/>
      <x:sz val="10"/>
      <x:color rgb="FFFFFFFF"/>
      <x:name val="Arial"/>
    </x:font>
    <x:font>
      <x:b/>
      <x:sz val="14"/>
      <x:color rgb="FF182B45"/>
      <x:name val="Arial"/>
    </x:font>
  </x:fonts>
  <x:fills count="5">
    <x:fill>
      <x:patternFill patternType="none"/>
    </x:fill>
    <x:fill>
      <x:patternFill patternType="gray125"/>
    </x:fill>
    <x:fill>
      <x:patternFill patternType="solid">
        <x:fgColor rgb="FF182B45"/>
      </x:patternFill>
    </x:fill>
    <x:fill>
      <x:patternFill patternType="solid">
        <x:fgColor rgb="FFF3F6F8"/>
      </x:patternFill>
    </x:fill>
    <x:fill>
      <x:patternFill patternType="solid">
        <x:fgColor rgb="FFFFF0C9"/>
      </x:patternFill>
    </x:fill>
  </x:fills>
  <x:borders count="2">
    <x:border>
      <x:left/>
      <x:right/>
      <x:top/>
      <x:bottom/>
      <x:diagonal/>
    </x:border>
    <x:border>
      <x:left/>
      <x:right/>
      <x:top/>
      <x:bottom style="thin">
        <x:color rgb="FF345879"/>
      </x:bottom>
      <x:diagonal/>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202" fontId="1" fillId="0"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2" fontId="1" fillId="0" borderId="0" xfId="0" applyNumberFormat="1" applyFont="1" applyFill="1" applyBorder="1" applyAlignment="1">
      <x:alignment horizontal="right" vertical="center" wrapText="1"/>
    </x:xf>
    <x:xf numFmtId="202" fontId="1" fillId="3" borderId="0" xfId="0" applyNumberFormat="1" applyFont="1" applyFill="1" applyBorder="1" applyAlignment="1">
      <x:alignment horizontal="right" vertical="center" wrapText="1"/>
    </x:xf>
    <x:xf numFmtId="203" fontId="1" fillId="0" borderId="0" xfId="0" applyNumberFormat="1" applyFont="1" applyFill="1" applyBorder="1" applyAlignment="1">
      <x:alignment vertical="center" wrapText="1"/>
    </x:xf>
    <x:xf numFmtId="203" fontId="1" fillId="3" borderId="0" xfId="0" applyNumberFormat="1" applyFont="1" applyFill="1" applyBorder="1" applyAlignment="1">
      <x:alignment vertical="center" wrapText="1"/>
    </x:xf>
    <x:xf numFmtId="200" fontId="1" fillId="4" borderId="0" xfId="0" applyNumberFormat="1" applyFont="1" applyFill="1" applyBorder="1" applyAlignment="1">
      <x:alignment horizontal="right" vertical="center" wrapText="1"/>
    </x:xf>
    <x:xf numFmtId="201" fontId="1" fillId="4" borderId="0" xfId="0" applyNumberFormat="1" applyFont="1" applyFill="1" applyBorder="1" applyAlignment="1">
      <x:alignment horizontal="right" vertical="center" wrapText="1"/>
    </x:xf>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1" fillId="4"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4" fontId="1" fillId="4" borderId="0" xfId="0" applyNumberFormat="1" applyFont="1" applyFill="1" applyBorder="1" applyAlignment="1">
      <x:alignment vertical="center"/>
    </x:xf>
    <x:xf numFmtId="204" fontId="1" fillId="4" borderId="0" xfId="0" applyNumberFormat="1" applyFont="1" applyFill="1" applyBorder="1" applyAlignment="1">
      <x:alignment horizontal="right" vertical="center"/>
    </x:xf>
    <x:xf numFmtId="202" fontId="1" fillId="4" borderId="0" xfId="0" applyNumberFormat="1" applyFont="1" applyFill="1" applyBorder="1" applyAlignment="1">
      <x:alignment vertical="center"/>
    </x:xf>
    <x:xf numFmtId="202" fontId="1" fillId="4" borderId="0" xfId="0" applyNumberFormat="1" applyFont="1" applyFill="1" applyBorder="1" applyAlignment="1">
      <x:alignment horizontal="right" vertical="center"/>
    </x:xf>
    <x:xf numFmtId="0" fontId="5" fillId="0" borderId="0" xfId="0" applyNumberFormat="1" applyFont="1" applyFill="1" applyBorder="1" applyAlignment="1">
      <x:alignment vertical="center"/>
    </x:xf>
  </x:cellXfs>
  <x:cellStyles count="1">
    <x:cellStyle name="Normal" xfId="0"/>
  </x:cellStyles>
  <x:dxfs count="3">
    <x:dxf>
      <x:fill>
        <x:patternFill patternType="solid">
          <x:bgColor rgb="FFFFF0C9"/>
        </x:patternFill>
      </x:fill>
    </x:dxf>
    <x:dxf>
      <x:font>
        <x:color rgb="FF78440A"/>
      </x:font>
      <x:fill>
        <x:patternFill patternType="solid">
          <x:bgColor rgb="FFFFF0C9"/>
        </x:patternFill>
      </x:fill>
    </x:dxf>
    <x:dxf>
      <x:fill>
        <x:patternFill patternType="solid">
          <x:bgColor rgb="FFFFF0C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a654f638e74700" /><Relationship Type="http://schemas.openxmlformats.org/officeDocument/2006/relationships/theme" Target="/xl/theme/theme1.xml" Id="Rff94761c42794b60" /><Relationship Type="http://schemas.openxmlformats.org/officeDocument/2006/relationships/sharedStrings" Target="/xl/sharedStrings.xml" Id="Rcfeae8cde0ad4020" /><Relationship Type="http://schemas.openxmlformats.org/officeDocument/2006/relationships/worksheet" Target="/xl/worksheets/sheet1.xml" Id="Rbb2dbc8dc2c54fa4" /><Relationship Type="http://schemas.openxmlformats.org/officeDocument/2006/relationships/worksheet" Target="/xl/worksheets/sheet2.xml" Id="Rf8d9ebd5ac5e4570" /><Relationship Type="http://schemas.openxmlformats.org/officeDocument/2006/relationships/worksheet" Target="/xl/worksheets/sheet3.xml" Id="R6a07ff0f5f6e490d" /></Relationships>
</file>

<file path=xl/tables/table1.xml><?xml version="1.0" encoding="utf-8"?>
<x:table xmlns:x="http://schemas.openxmlformats.org/spreadsheetml/2006/main" id="1" name="PartsData" displayName="PartsData" ref="A6:Q81" headerRowCount="1" totalsRowCount="0" totalsRowShown="0">
  <x:tableColumns count="17">
    <x:tableColumn id="1" name="ID"/>
    <x:tableColumn id="2" name="MPN / assembly"/>
    <x:tableColumn id="3" name="Required qty"/>
    <x:tableColumn id="4" name="Owned qty"/>
    <x:tableColumn id="5" name="Approved sample qty"/>
    <x:tableColumn id="6" name="Cash purchase qty"/>
    <x:tableColumn id="7" name="Unit CAD"/>
    <x:tableColumn id="8" name="Price status"/>
    <x:tableColumn id="9" name="Extended CAD"/>
    <x:tableColumn id="10" name="Procurement state"/>
    <x:tableColumn id="11" name="Cost owner"/>
    <x:tableColumn id="12" name="Remaining uncertainty / action"/>
    <x:tableColumn id="13" name="Column13"/>
    <x:tableColumn id="14" name="Source URL"/>
    <x:tableColumn id="15" name="Checked UTC"/>
    <x:tableColumn id="16" name="Archived unit CAD"/>
    <x:tableColumn id="17" name="Legacy IDs"/>
  </x:tableColumns>
  <x:tableStyleInfo name="TableStyleLight1" showFirstColumn="0" showLastColumn="0" showRowStripes="1" showColumnStripes="0"/>
</x:table>
</file>

<file path=xl/tables/table2.xml><?xml version="1.0" encoding="utf-8"?>
<x:table xmlns:x="http://schemas.openxmlformats.org/spreadsheetml/2006/main" id="2" name="LegacymapData" displayName="LegacymapData" ref="A6:G102" headerRowCount="1" totalsRowCount="0" totalsRowShown="0">
  <x:tableColumns count="7">
    <x:tableColumn id="1" name="Legacy ID"/>
    <x:tableColumn id="2" name="Historical MPN"/>
    <x:tableColumn id="3" name="Historical qty"/>
    <x:tableColumn id="4" name="Historical unit CAD"/>
    <x:tableColumn id="5" name="Snapshot only"/>
    <x:tableColumn id="6" name="Current record"/>
    <x:tableColumn id="7" name="Disposi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6593ff911a4256" /></Relationships>
</file>

<file path=xl/worksheets/_rels/sheet3.xml.rels>&#65279;<?xml version="1.0" encoding="utf-8"?><Relationships xmlns="http://schemas.openxmlformats.org/package/2006/relationships"><Relationship Type="http://schemas.openxmlformats.org/officeDocument/2006/relationships/table" Target="/xl/tables/table2.xml" Id="R20ef550aa69d4761" /></Relationships>
</file>

<file path=xl/worksheets/sheet1.xml><?xml version="1.0" encoding="utf-8"?>
<x:worksheet xmlns:x="http://schemas.openxmlformats.org/spreadsheetml/2006/main">
  <x:sheetPr>
    <x:tabColor rgb="FF182B45"/>
  </x:sheetPr>
  <x:sheetViews>
    <x:sheetView showGridLines="0" workbookViewId="0"/>
  </x:sheetViews>
  <x:sheetFormatPr defaultRowHeight="15"/>
  <x:cols>
    <x:col min="1" max="1" width="48" hidden="0" customWidth="1"/>
    <x:col min="2" max="2" width="19" hidden="0" customWidth="1"/>
    <x:col min="3" max="3" width="66" hidden="0" customWidth="1"/>
    <x:col min="4" max="4" width="18" hidden="0" customWidth="1"/>
    <x:col min="5" max="5" width="32" hidden="0" customWidth="1"/>
    <x:col min="6" max="6" width="60" hidden="0" customWidth="1"/>
  </x:cols>
  <x:sheetData>
    <x:row r="1">
      <x:c r="A1" s="1"/>
      <x:c r="B1" s="1"/>
      <x:c r="C1" s="1"/>
      <x:c r="D1" s="1"/>
      <x:c r="E1" s="1"/>
      <x:c r="F1" s="1"/>
    </x:row>
    <x:row r="2">
      <x:c r="A2" s="2" t="str">
        <x:v>Church PTZ purchasing and inventory</x:v>
      </x:c>
      <x:c r="B2" s="1"/>
      <x:c r="C2" s="1"/>
      <x:c r="D2" s="1"/>
      <x:c r="E2" s="1"/>
      <x:c r="F2" s="1"/>
    </x:row>
    <x:row r="3">
      <x:c r="A3" s="3"/>
      <x:c r="B3" s="3"/>
      <x:c r="C3" s="3"/>
      <x:c r="D3" s="3"/>
      <x:c r="E3" s="3"/>
      <x:c r="F3" s="3"/>
    </x:row>
    <x:row r="4" ht="38" customHeight="1">
      <x:c r="A4" s="4" t="str">
        <x:v>Physical keys</x:v>
      </x:c>
      <x:c r="B4" s="40" t="n">
        <x:v>34</x:v>
      </x:c>
      <x:c r="C4" s="12" t="str">
        <x:v>10 CAM + 12 preset + 12 technical.</x:v>
      </x:c>
      <x:c r="D4" s="12"/>
      <x:c r="E4" s="12"/>
      <x:c r="F4" s="12"/>
    </x:row>
    <x:row r="5" ht="38" customHeight="1">
      <x:c r="A5" s="4" t="str">
        <x:v>Independently illuminated keys</x:v>
      </x:c>
      <x:c r="B5" s="40" t="n">
        <x:v>27</x:v>
      </x:c>
      <x:c r="C5" s="12" t="str">
        <x:v>No silent increase in button or LED count.</x:v>
      </x:c>
      <x:c r="D5" s="12"/>
      <x:c r="E5" s="12"/>
      <x:c r="F5" s="12"/>
    </x:row>
    <x:row r="6" ht="38" customHeight="1">
      <x:c r="A6" s="4" t="str">
        <x:v>Verified priced subset, before HST</x:v>
      </x:c>
      <x:c r="B6" s="35" t="n">
        <x:f>SUM('Parts'!I7:I81)</x:f>
        <x:v>120.27000000000001</x:v>
      </x:c>
      <x:c r="C6" s="12" t="str">
        <x:v>Five current-priced mechanical/power lines only.</x:v>
      </x:c>
      <x:c r="D6" s="12"/>
      <x:c r="E6" s="12"/>
      <x:c r="F6" s="12"/>
    </x:row>
    <x:row r="7" ht="38" customHeight="1">
      <x:c r="A7" s="4" t="str">
        <x:v>Priced subset incl. 13% HST</x:v>
      </x:c>
      <x:c r="B7" s="35" t="n">
        <x:f>ROUND(B6*(1+B14),2)</x:f>
        <x:v>135.91</x:v>
      </x:c>
      <x:c r="C7" s="12" t="str">
        <x:v>Freight, APEM, unpriced electronics and enclosure overage additional.</x:v>
      </x:c>
      <x:c r="D7" s="12"/>
      <x:c r="E7" s="12"/>
      <x:c r="F7" s="12"/>
    </x:row>
    <x:row r="8" ht="38" customHeight="1">
      <x:c r="A8" s="4" t="str">
        <x:v>Part lines with unknown cash cost</x:v>
      </x:c>
      <x:c r="B8" s="4" t="n">
        <x:f>COUNTIFS('Parts'!I7:I81,"UNKNOWN")</x:f>
        <x:v>60</x:v>
      </x:c>
      <x:c r="C8" s="12" t="str">
        <x:v>Design-dependent quantities are unknown, not zero.</x:v>
      </x:c>
      <x:c r="D8" s="12"/>
      <x:c r="E8" s="12"/>
      <x:c r="F8" s="12"/>
    </x:row>
    <x:row r="9" ht="38" customHeight="1">
      <x:c r="A9" s="4" t="str">
        <x:v>All remaining parts before HST</x:v>
      </x:c>
      <x:c r="B9" s="35" t="str">
        <x:f>IF(B8=0,B6,"UNKNOWN")</x:f>
        <x:v>UNKNOWN</x:v>
      </x:c>
      <x:c r="C9" s="12" t="str">
        <x:v>UNKNOWN until every part cost is entered.</x:v>
      </x:c>
      <x:c r="D9" s="12"/>
      <x:c r="E9" s="12"/>
      <x:c r="F9" s="12"/>
    </x:row>
    <x:row r="10" ht="38" customHeight="1">
      <x:c r="A10" s="4" t="str">
        <x:v>Expected total remaining cash</x:v>
      </x:c>
      <x:c r="B10" s="35" t="str">
        <x:f>IF(AND(ISNUMBER(B9),ISNUMBER(B15),ISNUMBER(B16),ISNUMBER(B17),ISNUMBER(B20),ISNUMBER(B21)),ROUND((B9+B15+B16+B17)*(1+B14)+B20+B21,2),"UNKNOWN")</x:f>
        <x:v>UNKNOWN</x:v>
      </x:c>
      <x:c r="C10" s="12" t="str">
        <x:v>Includes logistics, enclosure overage and quoted enclosure tax when complete.</x:v>
      </x:c>
      <x:c r="D10" s="12"/>
      <x:c r="E10" s="12"/>
      <x:c r="F10" s="12"/>
    </x:row>
    <x:row r="11" ht="38" customHeight="1">
      <x:c r="A11" s="4"/>
      <x:c r="B11" s="4"/>
      <x:c r="C11" s="12"/>
      <x:c r="D11" s="12"/>
      <x:c r="E11" s="12"/>
      <x:c r="F11" s="12"/>
    </x:row>
    <x:row r="12" ht="38" customHeight="1">
      <x:c r="A12" s="4"/>
      <x:c r="B12" s="4"/>
      <x:c r="C12" s="12"/>
      <x:c r="D12" s="12"/>
      <x:c r="E12" s="12"/>
      <x:c r="F12" s="12"/>
    </x:row>
    <x:row r="13" ht="38" customHeight="1">
      <x:c r="A13" s="10" t="str">
        <x:v>Budget inputs</x:v>
      </x:c>
      <x:c r="B13" s="10" t="str">
        <x:v>Value</x:v>
      </x:c>
      <x:c r="C13" s="10" t="str">
        <x:v>Enter actual amounts. Blank means unknown.</x:v>
      </x:c>
      <x:c r="D13" s="12"/>
      <x:c r="E13" s="12"/>
      <x:c r="F13" s="12"/>
    </x:row>
    <x:row r="14" ht="38" customHeight="1">
      <x:c r="A14" s="4" t="str">
        <x:v>Ontario HST</x:v>
      </x:c>
      <x:c r="B14" s="37" t="n">
        <x:v>0.13</x:v>
      </x:c>
      <x:c r="C14" s="12" t="str">
        <x:v>Taxable Ontario purchase assumption. See CRA source in fit table.</x:v>
      </x:c>
      <x:c r="D14" s="12"/>
      <x:c r="E14" s="12"/>
      <x:c r="F14" s="12"/>
    </x:row>
    <x:row r="15" ht="38" customHeight="1">
      <x:c r="A15" s="4" t="str">
        <x:v>DigiKey freight</x:v>
      </x:c>
      <x:c r="B15" s="39"/>
      <x:c r="C15" s="12" t="str">
        <x:v>Enter checkout amount, including 0 if confirmed free.</x:v>
      </x:c>
      <x:c r="D15" s="12"/>
      <x:c r="E15" s="12"/>
      <x:c r="F15" s="12"/>
    </x:row>
    <x:row r="16" ht="38" customHeight="1">
      <x:c r="A16" s="4" t="str">
        <x:v>RobotShop freight</x:v>
      </x:c>
      <x:c r="B16" s="39"/>
      <x:c r="C16" s="12" t="str">
        <x:v>Enter checkout amount.</x:v>
      </x:c>
      <x:c r="D16" s="12"/>
      <x:c r="E16" s="12"/>
      <x:c r="F16" s="12"/>
    </x:row>
    <x:row r="17" ht="38" customHeight="1">
      <x:c r="A17" s="4" t="str">
        <x:v>Other freight</x:v>
      </x:c>
      <x:c r="B17" s="39"/>
      <x:c r="C17" s="12" t="str">
        <x:v>Enter confirmed total.</x:v>
      </x:c>
      <x:c r="D17" s="12"/>
      <x:c r="E17" s="12"/>
      <x:c r="F17" s="12"/>
    </x:row>
    <x:row r="18" ht="38" customHeight="1">
      <x:c r="A18" s="4" t="str">
        <x:v>Eligible Protocase quote before tax</x:v>
      </x:c>
      <x:c r="B18" s="39"/>
      <x:c r="C18" s="12" t="str">
        <x:v>Hardware/finish/feet/brackets counted here, not again as separate parts.</x:v>
      </x:c>
      <x:c r="D18" s="12"/>
      <x:c r="E18" s="12"/>
      <x:c r="F18" s="12"/>
    </x:row>
    <x:row r="19" ht="38" customHeight="1">
      <x:c r="A19" s="4" t="str">
        <x:v>Approved Protocase support</x:v>
      </x:c>
      <x:c r="B19" s="39" t="n">
        <x:v>500</x:v>
      </x:c>
      <x:c r="C19" s="12" t="str">
        <x:v>C$500 manufacturing support; shipping included, taxes unresolved.</x:v>
      </x:c>
      <x:c r="D19" s="12"/>
      <x:c r="E19" s="12"/>
      <x:c r="F19" s="12"/>
    </x:row>
    <x:row r="20" ht="38" customHeight="1">
      <x:c r="A20" s="4" t="str">
        <x:v>Enclosure cash before quoted tax</x:v>
      </x:c>
      <x:c r="B20" s="35" t="str">
        <x:f>IF(ISNUMBER(B18),MAX(0,B18-B19),"UNKNOWN")</x:f>
        <x:v>UNKNOWN</x:v>
      </x:c>
      <x:c r="C20" s="12" t="str">
        <x:v>Support applies to eligible manufacturing only.</x:v>
      </x:c>
      <x:c r="D20" s="12"/>
      <x:c r="E20" s="12"/>
      <x:c r="F20" s="12"/>
    </x:row>
    <x:row r="21" ht="38" customHeight="1">
      <x:c r="A21" s="4" t="str">
        <x:v>Quoted enclosure tax / other cash</x:v>
      </x:c>
      <x:c r="B21" s="39"/>
      <x:c r="C21" s="12" t="str">
        <x:v>Use Protocase invoice terms; do not assume credit removes tax.</x:v>
      </x:c>
      <x:c r="D21" s="12"/>
      <x:c r="E21" s="12"/>
      <x:c r="F21" s="12"/>
    </x:row>
    <x:row r="22" ht="38" customHeight="1">
      <x:c r="A22" s="4"/>
      <x:c r="B22" s="4"/>
      <x:c r="C22" s="12"/>
      <x:c r="D22" s="12"/>
      <x:c r="E22" s="12"/>
      <x:c r="F22" s="12"/>
    </x:row>
    <x:row r="23" ht="38" customHeight="1">
      <x:c r="A23" s="4"/>
      <x:c r="B23" s="4"/>
      <x:c r="C23" s="12"/>
      <x:c r="D23" s="12"/>
      <x:c r="E23" s="12"/>
      <x:c r="F23" s="12"/>
    </x:row>
    <x:row r="24" ht="38" customHeight="1">
      <x:c r="A24" s="10" t="str">
        <x:v>Optional staged fit basket</x:v>
      </x:c>
      <x:c r="B24" s="10" t="str">
        <x:v>Qty</x:v>
      </x:c>
      <x:c r="C24" s="10" t="str">
        <x:v>Unit CAD</x:v>
      </x:c>
      <x:c r="D24" s="10" t="str">
        <x:v>Parts CAD</x:v>
      </x:c>
      <x:c r="E24" s="10" t="str">
        <x:v>Stage</x:v>
      </x:c>
      <x:c r="F24" s="10" t="str">
        <x:v>Source</x:v>
      </x:c>
    </x:row>
    <x:row r="25" ht="38" customHeight="1">
      <x:c r="A25" s="12" t="str">
        <x:v>B32-1310 cap</x:v>
      </x:c>
      <x:c r="B25" s="4" t="n">
        <x:v>1</x:v>
      </x:c>
      <x:c r="C25" s="24" t="n">
        <x:v>0.59</x:v>
      </x:c>
      <x:c r="D25" s="24" t="n">
        <x:f>B25*C25</x:f>
        <x:v>0.59</x:v>
      </x:c>
      <x:c r="E25" s="12" t="str">
        <x:v>Mechanical fit</x:v>
      </x:c>
      <x:c r="F25" s="12" t="str">
        <x:v>https://www.digikey.ca/en/products/detail/aratas-formerly-omron-components/B32-1310/11535</x:v>
      </x:c>
    </x:row>
    <x:row r="26" ht="38" customHeight="1">
      <x:c r="A26" s="12" t="str">
        <x:v>PEC11R-4220F-N0024</x:v>
      </x:c>
      <x:c r="B26" s="4" t="n">
        <x:v>1</x:v>
      </x:c>
      <x:c r="C26" s="24" t="n">
        <x:v>4.09</x:v>
      </x:c>
      <x:c r="D26" s="24" t="n">
        <x:f>B26*C26</x:f>
        <x:v>4.09</x:v>
      </x:c>
      <x:c r="E26" s="12" t="str">
        <x:v>Mechanical fit</x:v>
      </x:c>
      <x:c r="F26" s="12" t="str">
        <x:v>https://www.digikey.ca/en/products/detail/bourns-inc/PEC11R-4220F-N0024/4699220</x:v>
      </x:c>
    </x:row>
    <x:row r="27" ht="38" customHeight="1">
      <x:c r="A27" s="12" t="str">
        <x:v>Adafruit 5527 knob</x:v>
      </x:c>
      <x:c r="B27" s="4" t="n">
        <x:v>1</x:v>
      </x:c>
      <x:c r="C27" s="24" t="n">
        <x:v>4.71</x:v>
      </x:c>
      <x:c r="D27" s="24" t="n">
        <x:f>B27*C27</x:f>
        <x:v>4.71</x:v>
      </x:c>
      <x:c r="E27" s="12" t="str">
        <x:v>Mechanical fit</x:v>
      </x:c>
      <x:c r="F27" s="12" t="str">
        <x:v>https://www.digikey.ca/en/products/detail/adafruit-industries-llc/5527/16653407</x:v>
      </x:c>
    </x:row>
    <x:row r="28" ht="38" customHeight="1">
      <x:c r="A28" s="12" t="str">
        <x:v>ServoCity 605616</x:v>
      </x:c>
      <x:c r="B28" s="4" t="n">
        <x:v>1</x:v>
      </x:c>
      <x:c r="C28" s="24" t="n">
        <x:v>45.7</x:v>
      </x:c>
      <x:c r="D28" s="24" t="n">
        <x:f>B28*C28</x:f>
        <x:v>45.7</x:v>
      </x:c>
      <x:c r="E28" s="12" t="str">
        <x:v>Mechanical fit</x:v>
      </x:c>
      <x:c r="F28" s="12" t="str">
        <x:v>https://ca.robotshop.com/products/servocity-3-function-joystick</x:v>
      </x:c>
    </x:row>
    <x:row r="29" ht="38" customHeight="1">
      <x:c r="A29" s="12" t="str">
        <x:v>GST18U05-P1J</x:v>
      </x:c>
      <x:c r="B29" s="4" t="n">
        <x:v>1</x:v>
      </x:c>
      <x:c r="C29" s="24" t="n">
        <x:v>21.12</x:v>
      </x:c>
      <x:c r="D29" s="24" t="n">
        <x:f>B29*C29</x:f>
        <x:v>21.12</x:v>
      </x:c>
      <x:c r="E29" s="12" t="str">
        <x:v>Later powered bench test</x:v>
      </x:c>
      <x:c r="F29" s="12" t="str">
        <x:v>https://www.digikey.ca/en/products/detail/mean-well-usa-inc/GST18U05-P1J/7703631</x:v>
      </x:c>
    </x:row>
    <x:row r="30" ht="38" customHeight="1">
      <x:c r="A30" s="4"/>
      <x:c r="B30" s="4"/>
      <x:c r="C30" s="12"/>
      <x:c r="D30" s="12"/>
      <x:c r="E30" s="12"/>
      <x:c r="F30" s="12"/>
    </x:row>
    <x:row r="31" ht="38" customHeight="1">
      <x:c r="A31" s="4" t="str">
        <x:v>Mechanical fit basket before HST</x:v>
      </x:c>
      <x:c r="B31" s="35" t="n">
        <x:f>SUM(D25:D28)</x:f>
        <x:v>55.09</x:v>
      </x:c>
      <x:c r="C31" s="12"/>
      <x:c r="D31" s="12"/>
      <x:c r="E31" s="12"/>
      <x:c r="F31" s="12"/>
    </x:row>
    <x:row r="32" ht="38" customHeight="1">
      <x:c r="A32" s="4" t="str">
        <x:v>Basket including later PSU before HST</x:v>
      </x:c>
      <x:c r="B32" s="35" t="n">
        <x:f>SUM(D25:D29)</x:f>
        <x:v>76.21000000000001</x:v>
      </x:c>
      <x:c r="C32" s="12"/>
      <x:c r="D32" s="12"/>
      <x:c r="E32" s="12"/>
      <x:c r="F32" s="12"/>
    </x:row>
    <x:row r="33" ht="38" customHeight="1">
      <x:c r="A33" s="4" t="str">
        <x:v>Cash needed to begin paper CAD</x:v>
      </x:c>
      <x:c r="B33" s="35" t="n">
        <x:v>0</x:v>
      </x:c>
      <x:c r="C33" s="12"/>
      <x:c r="D33" s="12"/>
      <x:c r="E33" s="12"/>
      <x:c r="F33" s="12"/>
    </x:row>
    <x:row r="34" ht="38" customHeight="1">
      <x:c r="A34" s="4"/>
      <x:c r="B34" s="4"/>
      <x:c r="C34" s="12"/>
      <x:c r="D34" s="12"/>
      <x:c r="E34" s="12"/>
      <x:c r="F34" s="12"/>
    </x:row>
    <x:row r="35" ht="38" customHeight="1">
      <x:c r="A35" s="10" t="str">
        <x:v>Owned / pending inventory</x:v>
      </x:c>
      <x:c r="B35" s="10" t="str">
        <x:v>Count</x:v>
      </x:c>
      <x:c r="C35" s="10" t="str">
        <x:v>Evidence / next action</x:v>
      </x:c>
      <x:c r="D35" s="12"/>
      <x:c r="E35" s="12"/>
      <x:c r="F35" s="12"/>
    </x:row>
    <x:row r="36" ht="38" customHeight="1">
      <x:c r="A36" s="4" t="str">
        <x:v>Bare B3F-4050 switches</x:v>
      </x:c>
      <x:c r="B36" s="4" t="n">
        <x:v>25</x:v>
      </x:c>
      <x:c r="C36" s="12" t="str">
        <x:v>Owner count. Use 7, retain 18. No caps or LEDs.</x:v>
      </x:c>
      <x:c r="D36" s="12"/>
      <x:c r="E36" s="12"/>
      <x:c r="F36" s="12"/>
    </x:row>
    <x:row r="37" ht="38" customHeight="1">
      <x:c r="A37" s="4" t="str">
        <x:v>Nextion NX4024T032_011</x:v>
      </x:c>
      <x:c r="B37" s="4" t="n">
        <x:v>1</x:v>
      </x:c>
      <x:c r="C37" s="12" t="str">
        <x:v>Owned. Confirm rear label, exact window/connector and touch suffix.</x:v>
      </x:c>
      <x:c r="D37" s="12"/>
      <x:c r="E37" s="12"/>
      <x:c r="F37" s="12"/>
    </x:row>
    <x:row r="38" ht="38" customHeight="1">
      <x:c r="A38" s="4" t="str">
        <x:v>W55RP20 sample approved</x:v>
      </x:c>
      <x:c r="B38" s="4" t="n">
        <x:v>1</x:v>
      </x:c>
      <x:c r="C38" s="12" t="str">
        <x:v>Not received in available evidence. No new board purchase planned.</x:v>
      </x:c>
      <x:c r="D38" s="12"/>
      <x:c r="E38" s="12"/>
      <x:c r="F38" s="12"/>
    </x:row>
    <x:row r="39" ht="74" customHeight="1">
      <x:c r="A39" s="4" t="str">
        <x:v>Workbench tools</x:v>
      </x:c>
      <x:c r="B39" s="4" t="str">
        <x:v>Owned</x:v>
      </x:c>
      <x:c r="C39" s="12" t="str">
        <x:v>Soldering station, solder, stripper, multimeter, heat shrink, pump, tweezers. Flux/fume extractor ordered per prior owner context; receipt not independently checked.</x:v>
      </x:c>
      <x:c r="D39" s="12"/>
      <x:c r="E39" s="12"/>
      <x:c r="F39" s="12"/>
    </x:row>
    <x:row r="40" ht="38" customHeight="1">
      <x:c r="A40" s="4" t="str">
        <x:v>HST source</x:v>
      </x:c>
      <x:c r="B40" s="4" t="str">
        <x:v>13%</x:v>
      </x:c>
      <x:c r="C40" s="12" t="str">
        <x:v>https://www.canada.ca/en/revenue-agency/services/tax/businesses/topics/gst-hst-businesses/charge-collect-which-rate/calculator.html</x:v>
      </x:c>
      <x:c r="D40" s="12"/>
      <x:c r="E40" s="12"/>
      <x:c r="F40" s="12"/>
    </x:row>
    <x:row r="41">
      <x:c r="A41" s="1"/>
      <x:c r="B41" s="1"/>
      <x:c r="C41" s="1"/>
      <x:c r="D41" s="1"/>
      <x:c r="E41" s="1"/>
      <x:c r="F41" s="1"/>
    </x:row>
    <x:row r="42">
      <x:c r="A42" s="1"/>
      <x:c r="B42" s="1"/>
      <x:c r="C42" s="1"/>
      <x:c r="D42" s="1"/>
      <x:c r="E42" s="1"/>
      <x:c r="F42" s="1"/>
    </x:row>
    <x:row r="43">
      <x:c r="A43" s="1"/>
      <x:c r="B43" s="1"/>
      <x:c r="C43" s="1"/>
      <x:c r="D43" s="1"/>
      <x:c r="E43" s="1"/>
      <x:c r="F43" s="1"/>
    </x:row>
  </x:sheetData>
  <x:conditionalFormatting sqref="B6:B10">
    <x:cfRule type="containsText" dxfId="2" priority="1" operator="containsText" text="UNKNOWN"/>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38" hidden="0" customWidth="1"/>
    <x:col min="3" max="3" width="13" hidden="0" customWidth="1"/>
    <x:col min="4" max="4" width="13" hidden="0" customWidth="1"/>
    <x:col min="5" max="5" width="17" hidden="0" customWidth="1"/>
    <x:col min="6" max="6" width="16" hidden="0" customWidth="1"/>
    <x:col min="7" max="7" width="14" hidden="0" customWidth="1"/>
    <x:col min="8" max="8" width="20" hidden="0" customWidth="1"/>
    <x:col min="9" max="9" width="17" hidden="0" customWidth="1"/>
    <x:col min="10" max="10" width="24" hidden="0" customWidth="1"/>
    <x:col min="11" max="11" width="25" hidden="0" customWidth="1"/>
    <x:col min="12" max="12" width="80" hidden="0" customWidth="1"/>
    <x:col min="13" max="13" width="3" hidden="0" customWidth="1"/>
    <x:col min="14" max="14" width="65" hidden="0" customWidth="1"/>
    <x:col min="15" max="15" width="16" hidden="0" customWidth="1"/>
    <x:col min="16" max="16" width="18" hidden="0" customWidth="1"/>
    <x:col min="17" max="17" width="18" hidden="0" customWidth="1"/>
  </x:cols>
  <x:sheetData>
    <x:row r="1">
      <x:c r="A1" s="4"/>
      <x:c r="B1" s="4"/>
      <x:c r="C1" s="4"/>
      <x:c r="D1" s="4"/>
      <x:c r="E1" s="4"/>
      <x:c r="F1" s="4"/>
      <x:c r="G1" s="4"/>
      <x:c r="H1" s="4"/>
      <x:c r="I1" s="4"/>
      <x:c r="J1" s="4"/>
      <x:c r="K1" s="4"/>
      <x:c r="L1" s="4"/>
      <x:c r="M1" s="4"/>
      <x:c r="N1" s="4"/>
      <x:c r="O1" s="4"/>
      <x:c r="P1" s="4"/>
      <x:c r="Q1" s="4"/>
    </x:row>
    <x:row r="2">
      <x:c r="A2" s="5" t="str">
        <x:v>Canonical parts: one row per MPN</x:v>
      </x:c>
      <x:c r="B2" s="4"/>
      <x:c r="C2" s="4"/>
      <x:c r="D2" s="4"/>
      <x:c r="E2" s="4"/>
      <x:c r="F2" s="4"/>
      <x:c r="G2" s="4"/>
      <x:c r="H2" s="4"/>
      <x:c r="I2" s="4"/>
      <x:c r="J2" s="4"/>
      <x:c r="K2" s="4"/>
      <x:c r="L2" s="4"/>
      <x:c r="M2" s="4"/>
      <x:c r="N2" s="4"/>
      <x:c r="O2" s="4"/>
      <x:c r="P2" s="4"/>
      <x:c r="Q2" s="4"/>
    </x:row>
    <x:row r="3">
      <x:c r="A3" s="6"/>
      <x:c r="B3" s="6"/>
      <x:c r="C3" s="6"/>
      <x:c r="D3" s="6"/>
      <x:c r="E3" s="6"/>
      <x:c r="F3" s="6"/>
      <x:c r="G3" s="6"/>
      <x:c r="H3" s="6"/>
      <x:c r="I3" s="6"/>
      <x:c r="J3" s="6"/>
      <x:c r="K3" s="6"/>
      <x:c r="L3" s="6"/>
      <x:c r="M3" s="6"/>
      <x:c r="N3" s="6"/>
      <x:c r="O3" s="6"/>
      <x:c r="P3" s="6"/>
      <x:c r="Q3" s="6"/>
    </x:row>
    <x:row r="4">
      <x:c r="A4" s="7" t="str">
        <x:v>Only checked/current quote fields feed cash totals. Archived unit prices are excluded. Pending samples are not owned stock.</x:v>
      </x:c>
      <x:c r="B4" s="4"/>
      <x:c r="C4" s="4"/>
      <x:c r="D4" s="4"/>
      <x:c r="E4" s="4"/>
      <x:c r="F4" s="4"/>
      <x:c r="G4" s="4"/>
      <x:c r="H4" s="4"/>
      <x:c r="I4" s="4"/>
      <x:c r="J4" s="4"/>
      <x:c r="K4" s="4"/>
      <x:c r="L4" s="4"/>
      <x:c r="M4" s="4"/>
      <x:c r="N4" s="4"/>
      <x:c r="O4" s="4"/>
      <x:c r="P4" s="4"/>
      <x:c r="Q4" s="4"/>
    </x:row>
    <x:row r="5">
      <x:c r="A5" s="4"/>
      <x:c r="B5" s="4"/>
      <x:c r="C5" s="4"/>
      <x:c r="D5" s="4"/>
      <x:c r="E5" s="4"/>
      <x:c r="F5" s="4"/>
      <x:c r="G5" s="4"/>
      <x:c r="H5" s="4"/>
      <x:c r="I5" s="4"/>
      <x:c r="J5" s="4"/>
      <x:c r="K5" s="4"/>
      <x:c r="L5" s="4"/>
      <x:c r="M5" s="4"/>
      <x:c r="N5" s="4"/>
      <x:c r="O5" s="4"/>
      <x:c r="P5" s="4"/>
      <x:c r="Q5" s="4"/>
    </x:row>
    <x:row r="6" ht="36" customHeight="1">
      <x:c r="A6" s="11" t="str">
        <x:v>ID</x:v>
      </x:c>
      <x:c r="B6" s="11" t="str">
        <x:v>MPN / assembly</x:v>
      </x:c>
      <x:c r="C6" s="11" t="str">
        <x:v>Required qty</x:v>
      </x:c>
      <x:c r="D6" s="11" t="str">
        <x:v>Owned qty</x:v>
      </x:c>
      <x:c r="E6" s="11" t="str">
        <x:v>Approved sample qty</x:v>
      </x:c>
      <x:c r="F6" s="11" t="str">
        <x:v>Cash purchase qty</x:v>
      </x:c>
      <x:c r="G6" s="11" t="str">
        <x:v>Unit CAD</x:v>
      </x:c>
      <x:c r="H6" s="11" t="str">
        <x:v>Price status</x:v>
      </x:c>
      <x:c r="I6" s="11" t="str">
        <x:v>Extended CAD</x:v>
      </x:c>
      <x:c r="J6" s="11" t="str">
        <x:v>Procurement state</x:v>
      </x:c>
      <x:c r="K6" s="11" t="str">
        <x:v>Cost owner</x:v>
      </x:c>
      <x:c r="L6" s="11" t="str">
        <x:v>Remaining uncertainty / action</x:v>
      </x:c>
      <x:c r="M6" s="11" t="str"/>
      <x:c r="N6" s="11" t="str">
        <x:v>Source URL</x:v>
      </x:c>
      <x:c r="O6" s="11" t="str">
        <x:v>Checked UTC</x:v>
      </x:c>
      <x:c r="P6" s="11" t="str">
        <x:v>Archived unit CAD</x:v>
      </x:c>
      <x:c r="Q6" s="11" t="str">
        <x:v>Legacy IDs</x:v>
      </x:c>
    </x:row>
    <x:row r="7" ht="76" customHeight="1">
      <x:c r="A7" s="12" t="str">
        <x:v>CTL-01</x:v>
      </x:c>
      <x:c r="B7" s="12" t="str">
        <x:v>B3F-4050</x:v>
      </x:c>
      <x:c r="C7" s="28" t="n">
        <x:v>7</x:v>
      </x:c>
      <x:c r="D7" s="28" t="n">
        <x:v>25</x:v>
      </x:c>
      <x:c r="E7" s="28" t="n">
        <x:v>0</x:v>
      </x:c>
      <x:c r="F7" s="16" t="n">
        <x:f>IF(ISNUMBER(C7),MAX(0,C7-D7-E7),"UNKNOWN")</x:f>
        <x:v>0</x:v>
      </x:c>
      <x:c r="G7" s="29" t="n">
        <x:v>0</x:v>
      </x:c>
      <x:c r="H7" s="12" t="str">
        <x:v>OWNED</x:v>
      </x:c>
      <x:c r="I7" s="24" t="n">
        <x:f>IF(K7="ENCLOSURE QUOTE","IN QUOTE",IF(ISNUMBER(F7),IF(F7=0,0,IF(ISNUMBER(G7),ROUND(F7*G7,2),"UNKNOWN")),"UNKNOWN"))</x:f>
        <x:v>0</x:v>
      </x:c>
      <x:c r="J7" s="12" t="str">
        <x:v>OWNED</x:v>
      </x:c>
      <x:c r="K7" s="12" t="str">
        <x:v>PART</x:v>
      </x:c>
      <x:c r="L7" s="12" t="str">
        <x:v>25 bare switches received per owner. Fit7 unlit controls, 18 remain. No reorder; no LEDs/caps included.</x:v>
      </x:c>
      <x:c r="M7" s="12" t="str"/>
      <x:c r="N7" s="12" t="str">
        <x:v>https://omronfs.omron.com/en_US/ecb/products/pdf/en-b3f.pdf</x:v>
      </x:c>
      <x:c r="O7" s="26" t="d">
        <x:v>2026-10-15T00:00:00.000Z</x:v>
      </x:c>
      <x:c r="P7" s="20"/>
      <x:c r="Q7" s="12" t="str">
        <x:v>CTL-01</x:v>
      </x:c>
    </x:row>
    <x:row r="8" ht="76" customHeight="1">
      <x:c r="A8" s="13" t="str">
        <x:v>CTL-05</x:v>
      </x:c>
      <x:c r="B8" s="13" t="str">
        <x:v>B32-1310</x:v>
      </x:c>
      <x:c r="C8" s="28" t="n">
        <x:v>7</x:v>
      </x:c>
      <x:c r="D8" s="28" t="n">
        <x:v>0</x:v>
      </x:c>
      <x:c r="E8" s="28" t="n">
        <x:v>0</x:v>
      </x:c>
      <x:c r="F8" s="17" t="n">
        <x:f>IF(ISNUMBER(C8),MAX(0,C8-D8-E8),"UNKNOWN")</x:f>
        <x:v>7</x:v>
      </x:c>
      <x:c r="G8" s="29" t="n">
        <x:v>0.59</x:v>
      </x:c>
      <x:c r="H8" s="13" t="str">
        <x:v>CHECKED CAD</x:v>
      </x:c>
      <x:c r="I8" s="25" t="n">
        <x:f>IF(K8="ENCLOSURE QUOTE","IN QUOTE",IF(ISNUMBER(F8),IF(F8=0,0,IF(ISNUMBER(G8),ROUND(F8*G8,2),"UNKNOWN")),"UNKNOWN"))</x:f>
        <x:v>4.13</x:v>
      </x:c>
      <x:c r="J8" s="13" t="str">
        <x:v>FIT SAMPLE FIRST</x:v>
      </x:c>
      <x:c r="K8" s="13" t="str">
        <x:v>PART</x:v>
      </x:c>
      <x:c r="L8" s="13" t="str">
        <x:v>7 required; each-tierC$0.59. Bulk10 atC$0.53 totalsC$5.30 and is optional, not a mandatory extra3. Test1 first.</x:v>
      </x:c>
      <x:c r="M8" s="13" t="str"/>
      <x:c r="N8" s="13" t="str">
        <x:v>https://www.digikey.ca/en/products/detail/aratas-formerly-omron-components/B32-1310/11535</x:v>
      </x:c>
      <x:c r="O8" s="27" t="d">
        <x:v>2026-10-15T00:00:00.000Z</x:v>
      </x:c>
      <x:c r="P8" s="21" t="n">
        <x:v>0.53</x:v>
      </x:c>
      <x:c r="Q8" s="13" t="str">
        <x:v>CTL-05</x:v>
      </x:c>
    </x:row>
    <x:row r="9" ht="76" customHeight="1">
      <x:c r="A9" s="12" t="str">
        <x:v>CTL-07</x:v>
      </x:c>
      <x:c r="B9" s="12" t="str">
        <x:v>PEC11R-4220F-N0024</x:v>
      </x:c>
      <x:c r="C9" s="28" t="n">
        <x:v>6</x:v>
      </x:c>
      <x:c r="D9" s="28" t="n">
        <x:v>0</x:v>
      </x:c>
      <x:c r="E9" s="28" t="n">
        <x:v>0</x:v>
      </x:c>
      <x:c r="F9" s="16" t="n">
        <x:f>IF(ISNUMBER(C9),MAX(0,C9-D9-E9),"UNKNOWN")</x:f>
        <x:v>6</x:v>
      </x:c>
      <x:c r="G9" s="29" t="n">
        <x:v>3.51</x:v>
      </x:c>
      <x:c r="H9" s="12" t="str">
        <x:v>CHECKED CAD</x:v>
      </x:c>
      <x:c r="I9" s="24" t="n">
        <x:f>IF(K9="ENCLOSURE QUOTE","IN QUOTE",IF(ISNUMBER(F9),IF(F9=0,0,IF(ISNUMBER(G9),ROUND(F9*G9,2),"UNKNOWN")),"UNKNOWN"))</x:f>
        <x:v>21.06</x:v>
      </x:c>
      <x:c r="J9" s="12" t="str">
        <x:v>FIT SAMPLE FIRST</x:v>
      </x:c>
      <x:c r="K9" s="12" t="str">
        <x:v>PART</x:v>
      </x:c>
      <x:c r="L9" s="12" t="str">
        <x:v>6 encoders at qty5 tierC$3.51 each; fit sample1C$4.09. No push switch. Nut+washer included; soldering method needs review (hand soldering not recommended).</x:v>
      </x:c>
      <x:c r="M9" s="12" t="str"/>
      <x:c r="N9" s="12" t="str">
        <x:v>https://www.digikey.ca/en/products/detail/bourns-inc/PEC11R-4220F-N0024/4699220</x:v>
      </x:c>
      <x:c r="O9" s="26" t="d">
        <x:v>2026-10-15T00:00:00.000Z</x:v>
      </x:c>
      <x:c r="P9" s="20" t="n">
        <x:v>3.51</x:v>
      </x:c>
      <x:c r="Q9" s="12" t="str">
        <x:v>CTL-07</x:v>
      </x:c>
    </x:row>
    <x:row r="10" ht="76" customHeight="1">
      <x:c r="A10" s="13" t="str">
        <x:v>CTL-08</x:v>
      </x:c>
      <x:c r="B10" s="13" t="str">
        <x:v>5527</x:v>
      </x:c>
      <x:c r="C10" s="28" t="n">
        <x:v>6</x:v>
      </x:c>
      <x:c r="D10" s="28" t="n">
        <x:v>0</x:v>
      </x:c>
      <x:c r="E10" s="28" t="n">
        <x:v>0</x:v>
      </x:c>
      <x:c r="F10" s="17" t="n">
        <x:f>IF(ISNUMBER(C10),MAX(0,C10-D10-E10),"UNKNOWN")</x:f>
        <x:v>6</x:v>
      </x:c>
      <x:c r="G10" s="29" t="n">
        <x:v>4.71</x:v>
      </x:c>
      <x:c r="H10" s="13" t="str">
        <x:v>CHECKED CAD</x:v>
      </x:c>
      <x:c r="I10" s="25" t="n">
        <x:f>IF(K10="ENCLOSURE QUOTE","IN QUOTE",IF(ISNUMBER(F10),IF(F10=0,0,IF(ISNUMBER(G10),ROUND(F10*G10,2),"UNKNOWN")),"UNKNOWN"))</x:f>
        <x:v>28.26</x:v>
      </x:c>
      <x:c r="J10" s="13" t="str">
        <x:v>FIT SAMPLE FIRST</x:v>
      </x:c>
      <x:c r="K10" s="13" t="str">
        <x:v>PART</x:v>
      </x:c>
      <x:c r="L10" s="13" t="str">
        <x:v>6mm bore, diameter20. Product page12.5 high versus drawing15.5 total; use15.5 planning envelope and measure actual sample.</x:v>
      </x:c>
      <x:c r="M10" s="13" t="str"/>
      <x:c r="N10" s="13" t="str">
        <x:v>https://www.digikey.ca/en/products/detail/adafruit-industries-llc/5527/16653407</x:v>
      </x:c>
      <x:c r="O10" s="27" t="d">
        <x:v>2026-10-15T00:00:00.000Z</x:v>
      </x:c>
      <x:c r="P10" s="21" t="n">
        <x:v>4.71</x:v>
      </x:c>
      <x:c r="Q10" s="13" t="str">
        <x:v>CTL-08</x:v>
      </x:c>
    </x:row>
    <x:row r="11" ht="76" customHeight="1">
      <x:c r="A11" s="12" t="str">
        <x:v>CTL-09</x:v>
      </x:c>
      <x:c r="B11" s="12" t="str">
        <x:v>605616</x:v>
      </x:c>
      <x:c r="C11" s="28" t="n">
        <x:v>1</x:v>
      </x:c>
      <x:c r="D11" s="28" t="n">
        <x:v>0</x:v>
      </x:c>
      <x:c r="E11" s="28" t="n">
        <x:v>0</x:v>
      </x:c>
      <x:c r="F11" s="16" t="n">
        <x:f>IF(ISNUMBER(C11),MAX(0,C11-D11-E11),"UNKNOWN")</x:f>
        <x:v>1</x:v>
      </x:c>
      <x:c r="G11" s="29" t="n">
        <x:v>45.7</x:v>
      </x:c>
      <x:c r="H11" s="12" t="str">
        <x:v>CHECKED CAD</x:v>
      </x:c>
      <x:c r="I11" s="24" t="n">
        <x:f>IF(K11="ENCLOSURE QUOTE","IN QUOTE",IF(ISNUMBER(F11),IF(F11=0,0,IF(ISNUMBER(G11),ROUND(F11*G11,2),"UNKNOWN")),"UNKNOWN"))</x:f>
        <x:v>45.7</x:v>
      </x:c>
      <x:c r="J11" s="12" t="str">
        <x:v>FIT SAMPLE FIRST</x:v>
      </x:c>
      <x:c r="K11" s="12" t="str">
        <x:v>PART</x:v>
      </x:c>
      <x:c r="L11" s="12" t="str">
        <x:v>C$45.70, RobotShop Canada product JSON available=true14Oct Toronto. No discount per ServoCity23Sep. Not owned/donated. Freight extra.</x:v>
      </x:c>
      <x:c r="M11" s="12" t="str"/>
      <x:c r="N11" s="12" t="str">
        <x:v>https://ca.robotshop.com/products/servocity-3-function-joystick</x:v>
      </x:c>
      <x:c r="O11" s="26" t="d">
        <x:v>2026-10-15T00:00:00.000Z</x:v>
      </x:c>
      <x:c r="P11" s="20" t="n">
        <x:v>45.7</x:v>
      </x:c>
      <x:c r="Q11" s="12" t="str">
        <x:v>CTL-09</x:v>
      </x:c>
    </x:row>
    <x:row r="12" ht="108" customHeight="1">
      <x:c r="A12" s="13" t="str">
        <x:v>CTL-10</x:v>
      </x:c>
      <x:c r="B12" s="13" t="str">
        <x:v>Five nets: GND, BOARD_3V3, X, Y, Z</x:v>
      </x:c>
      <x:c r="C12" s="28" t="n">
        <x:v>1</x:v>
      </x:c>
      <x:c r="D12" s="28" t="n">
        <x:v>0</x:v>
      </x:c>
      <x:c r="E12" s="28" t="n">
        <x:v>0</x:v>
      </x:c>
      <x:c r="F12" s="17" t="n">
        <x:f>IF(ISNUMBER(C12),MAX(0,C12-D12-E12),"UNKNOWN")</x:f>
        <x:v>1</x:v>
      </x:c>
      <x:c r="G12" s="29"/>
      <x:c r="H12" s="13" t="str">
        <x:v>UNPRICED</x:v>
      </x:c>
      <x:c r="I12" s="25" t="str">
        <x:f>IF(K12="ENCLOSURE QUOTE","IN QUOTE",IF(ISNUMBER(F12),IF(F12=0,0,IF(ISNUMBER(G12),ROUND(F12*G12,2),"UNKNOWN")),"UNKNOWN"))</x:f>
        <x:v>UNKNOWN</x:v>
      </x:c>
      <x:c r="J12" s="13" t="str">
        <x:v>DESIGN HOLD</x:v>
      </x:c>
      <x:c r="K12" s="13" t="str">
        <x:v>PART</x:v>
      </x:c>
      <x:c r="L12" s="13" t="str">
        <x:v>One detachable joystick harness: five nets but nine pot tabs. Share 3V3 and analog ground among pots; three wipers to ADC filters. Verify tab identities with meter, never apply 5 V to wipers. Signal connector and precrimps remain unpriced. Five nets: ground, BOARD_3V3, and three wipers. Verify all nine tabs with an ohmmeter. Branch-wire lengths and strain relief depend on the actual joystick.</x:v>
      </x:c>
      <x:c r="M12" s="13" t="str"/>
      <x:c r="N12" s="13" t="str"/>
      <x:c r="O12" s="27" t="d">
        <x:v>2026-10-15T00:00:00.000Z</x:v>
      </x:c>
      <x:c r="P12" s="21"/>
      <x:c r="Q12" s="13" t="str">
        <x:v>CTL-10</x:v>
      </x:c>
    </x:row>
    <x:row r="13" ht="76" customHeight="1">
      <x:c r="A13" s="12" t="str">
        <x:v>MCU-02</x:v>
      </x:c>
      <x:c r="B13" s="12" t="str">
        <x:v>W55RP20-EVB-PICO Rev1.0</x:v>
      </x:c>
      <x:c r="C13" s="28" t="n">
        <x:v>1</x:v>
      </x:c>
      <x:c r="D13" s="28" t="n">
        <x:v>0</x:v>
      </x:c>
      <x:c r="E13" s="28" t="n">
        <x:v>1</x:v>
      </x:c>
      <x:c r="F13" s="16" t="n">
        <x:f>IF(ISNUMBER(C13),MAX(0,C13-D13-E13),"UNKNOWN")</x:f>
        <x:v>0</x:v>
      </x:c>
      <x:c r="G13" s="29" t="n">
        <x:v>0</x:v>
      </x:c>
      <x:c r="H13" s="12" t="str">
        <x:v>APPROVED SAMPLE</x:v>
      </x:c>
      <x:c r="I13" s="24" t="n">
        <x:f>IF(K13="ENCLOSURE QUOTE","IN QUOTE",IF(ISNUMBER(F13),IF(F13=0,0,IF(ISNUMBER(G13),ROUND(F13*G13,2),"UNKNOWN")),"UNKNOWN"))</x:f>
        <x:v>0</x:v>
      </x:c>
      <x:c r="J13" s="12" t="str">
        <x:v>APPROVED SAMPLE</x:v>
      </x:c>
      <x:c r="K13" s="12" t="str">
        <x:v>PART</x:v>
      </x:c>
      <x:c r="L13" s="12" t="str">
        <x:v>WIZnet approved sample14Oct; owner confirmation sent. R6.2 records US$0 PI. Shipment/tracking and receipt not found; no billing document published.</x:v>
      </x:c>
      <x:c r="M13" s="12" t="str"/>
      <x:c r="N13" s="12" t="str">
        <x:v>https://docs.wiznet.io/Product/Chip/MCU/W55RP20/w55rp20-evb-pico</x:v>
      </x:c>
      <x:c r="O13" s="26" t="d">
        <x:v>2026-10-15T00:00:00.000Z</x:v>
      </x:c>
      <x:c r="P13" s="20" t="n">
        <x:v>0</x:v>
      </x:c>
      <x:c r="Q13" s="12" t="str">
        <x:v>MCU-02</x:v>
      </x:c>
    </x:row>
    <x:row r="14" ht="76" customHeight="1">
      <x:c r="A14" s="13" t="str">
        <x:v>MCU-03</x:v>
      </x:c>
      <x:c r="B14" s="13" t="str">
        <x:v>TBD 2 x 20-way socket strips + matching headers</x:v>
      </x:c>
      <x:c r="C14" s="28" t="n">
        <x:v>1</x:v>
      </x:c>
      <x:c r="D14" s="28" t="n">
        <x:v>0</x:v>
      </x:c>
      <x:c r="E14" s="28" t="n">
        <x:v>0</x:v>
      </x:c>
      <x:c r="F14" s="17" t="n">
        <x:f>IF(ISNUMBER(C14),MAX(0,C14-D14-E14),"UNKNOWN")</x:f>
        <x:v>1</x:v>
      </x:c>
      <x:c r="G14" s="29"/>
      <x:c r="H14" s="13" t="str">
        <x:v>UNPRICED</x:v>
      </x:c>
      <x:c r="I14" s="25" t="str">
        <x:f>IF(K14="ENCLOSURE QUOTE","IN QUOTE",IF(ISNUMBER(F14),IF(F14=0,0,IF(ISNUMBER(G14),ROUND(F14*G14,2),"UNKNOWN")),"UNKNOWN"))</x:f>
        <x:v>UNKNOWN</x:v>
      </x:c>
      <x:c r="J14" s="13" t="str">
        <x:v>DESIGN HOLD</x:v>
      </x:c>
      <x:c r="K14" s="13" t="str">
        <x:v>PART</x:v>
      </x:c>
      <x:c r="L14" s="13" t="str">
        <x:v>Socket W5500 module using two 20-way 2.54 mm female strips and matching male headers if not supplied. Exact stack height, tail length and retention not selected. No additional Ethernet jack needed.</x:v>
      </x:c>
      <x:c r="M14" s="13" t="str"/>
      <x:c r="N14" s="13" t="str">
        <x:v>https://docs.wiznet.io/Product/Chip/Ethernet/W5500/w5500-evb-pico</x:v>
      </x:c>
      <x:c r="O14" s="27" t="d">
        <x:v>2026-10-15T00:00:00.000Z</x:v>
      </x:c>
      <x:c r="P14" s="21"/>
      <x:c r="Q14" s="13" t="str">
        <x:v>MCU-03</x:v>
      </x:c>
    </x:row>
    <x:row r="15" ht="76" customHeight="1">
      <x:c r="A15" s="12" t="str">
        <x:v>MCU-04</x:v>
      </x:c>
      <x:c r="B15" s="12" t="str">
        <x:v>USB data cable matched to chosen board</x:v>
      </x:c>
      <x:c r="C15" s="28" t="n">
        <x:v>1</x:v>
      </x:c>
      <x:c r="D15" s="28" t="n">
        <x:v>0</x:v>
      </x:c>
      <x:c r="E15" s="28" t="n">
        <x:v>0</x:v>
      </x:c>
      <x:c r="F15" s="16" t="n">
        <x:f>IF(ISNUMBER(C15),MAX(0,C15-D15-E15),"UNKNOWN")</x:f>
        <x:v>1</x:v>
      </x:c>
      <x:c r="G15" s="29"/>
      <x:c r="H15" s="12" t="str">
        <x:v>UNPRICED</x:v>
      </x:c>
      <x:c r="I15" s="24" t="str">
        <x:f>IF(K15="ENCLOSURE QUOTE","IN QUOTE",IF(ISNUMBER(F15),IF(F15=0,0,IF(ISNUMBER(G15),ROUND(F15*G15,2),"UNKNOWN")),"UNKNOWN"))</x:f>
        <x:v>UNKNOWN</x:v>
      </x:c>
      <x:c r="J15" s="12" t="str">
        <x:v>DESIGN HOLD</x:v>
      </x:c>
      <x:c r="K15" s="12" t="str">
        <x:v>PART</x:v>
      </x:c>
      <x:c r="L15" s="12" t="str">
        <x:v>W5500 baseline needs Micro-B data cable. Check existing cable has data lines; do not buy USB-C for this board. Keep connector reachable for BOOTSEL/reset and programming.</x:v>
      </x:c>
      <x:c r="M15" s="12" t="str"/>
      <x:c r="N15" s="12" t="str">
        <x:v>https://docs.wiznet.io/Product/Chip/Ethernet/W5500/w5500-evb-pico</x:v>
      </x:c>
      <x:c r="O15" s="26" t="d">
        <x:v>2026-10-15T00:00:00.000Z</x:v>
      </x:c>
      <x:c r="P15" s="20"/>
      <x:c r="Q15" s="12" t="str">
        <x:v>MCU-04</x:v>
      </x:c>
    </x:row>
    <x:row r="16" ht="108" customHeight="1">
      <x:c r="A16" s="13" t="str">
        <x:v>COM-01</x:v>
      </x:c>
      <x:c r="B16" s="13" t="str">
        <x:v>AM26LV31EIDR</x:v>
      </x:c>
      <x:c r="C16" s="28" t="n">
        <x:v>1</x:v>
      </x:c>
      <x:c r="D16" s="28" t="n">
        <x:v>0</x:v>
      </x:c>
      <x:c r="E16" s="28" t="n">
        <x:v>0</x:v>
      </x:c>
      <x:c r="F16" s="17" t="n">
        <x:f>IF(ISNUMBER(C16),MAX(0,C16-D16-E16),"UNKNOWN")</x:f>
        <x:v>1</x:v>
      </x:c>
      <x:c r="G16" s="29"/>
      <x:c r="H16" s="13" t="str">
        <x:v>UNPRICED</x:v>
      </x:c>
      <x:c r="I16" s="25" t="str">
        <x:f>IF(K16="ENCLOSURE QUOTE","IN QUOTE",IF(ISNUMBER(F16),IF(F16=0,0,IF(ISNUMBER(G16),ROUND(F16*G16,2),"UNKNOWN")),"UNKNOWN"))</x:f>
        <x:v>UNKNOWN</x:v>
      </x:c>
      <x:c r="J16" s="13" t="str">
        <x:v>DESIGN HOLD</x:v>
      </x:c>
      <x:c r="K16" s="13" t="str">
        <x:v>PART</x:v>
      </x:c>
      <x:c r="L16" s="13" t="str">
        <x:v>One quad driver provides four independent transmit pairs at 3.3 V, not four ICs. SOIC-16 D package. Retain candidate, hold until receive termination, rail budget and protection topology reviewed. Global enable defaults inactive. Exact component and electrical/package basis selected. Circuit/system validation remains separate; no panel cutout is released by this part status. Price basis: Cut tape; 1 quad driver.</x:v>
      </x:c>
      <x:c r="M16" s="13" t="str"/>
      <x:c r="N16" s="13" t="str">
        <x:v>https://www.digikey.ca/en/products/detail/texas-instruments/AM26LV31EIDR/1895997</x:v>
      </x:c>
      <x:c r="O16" s="27" t="d">
        <x:v>2026-10-15T00:00:00.000Z</x:v>
      </x:c>
      <x:c r="P16" s="21" t="n">
        <x:v>3.78</x:v>
      </x:c>
      <x:c r="Q16" s="13" t="str">
        <x:v>COM-01</x:v>
      </x:c>
    </x:row>
    <x:row r="17" ht="108" customHeight="1">
      <x:c r="A17" s="12" t="str">
        <x:v>COM-02</x:v>
      </x:c>
      <x:c r="B17" s="12" t="str">
        <x:v>AM26LV32EIDR</x:v>
      </x:c>
      <x:c r="C17" s="28" t="n">
        <x:v>1</x:v>
      </x:c>
      <x:c r="D17" s="28" t="n">
        <x:v>0</x:v>
      </x:c>
      <x:c r="E17" s="28" t="n">
        <x:v>0</x:v>
      </x:c>
      <x:c r="F17" s="16" t="n">
        <x:f>IF(ISNUMBER(C17),MAX(0,C17-D17-E17),"UNKNOWN")</x:f>
        <x:v>1</x:v>
      </x:c>
      <x:c r="G17" s="29"/>
      <x:c r="H17" s="12" t="str">
        <x:v>UNPRICED</x:v>
      </x:c>
      <x:c r="I17" s="24" t="str">
        <x:f>IF(K17="ENCLOSURE QUOTE","IN QUOTE",IF(ISNUMBER(F17),IF(F17=0,0,IF(ISNUMBER(G17),ROUND(F17*G17,2),"UNKNOWN")),"UNKNOWN"))</x:f>
        <x:v>UNKNOWN</x:v>
      </x:c>
      <x:c r="J17" s="12" t="str">
        <x:v>DESIGN HOLD</x:v>
      </x:c>
      <x:c r="K17" s="12" t="str">
        <x:v>PART</x:v>
      </x:c>
      <x:c r="L17" s="12" t="str">
        <x:v>One quad receiver provides four return pairs. TI current datasheet guarantees open-circuit fail-safe, not shorted/terminated fail-safe. Existing R5 cannot claim robust idle reception from the IC alone. Resolve bias/termination and disconnect tests. Exact component and electrical/package basis selected. Circuit/system validation remains separate; no panel cutout is released by this part status. Price basis: Cut tape; 1 quad receiver.</x:v>
      </x:c>
      <x:c r="M17" s="12" t="str"/>
      <x:c r="N17" s="12" t="str">
        <x:v>https://www.digikey.ca/en/products/detail/texas-instruments/AM26LV32EIDR/1896009</x:v>
      </x:c>
      <x:c r="O17" s="26" t="d">
        <x:v>2026-10-15T00:00:00.000Z</x:v>
      </x:c>
      <x:c r="P17" s="20" t="n">
        <x:v>3.69</x:v>
      </x:c>
      <x:c r="Q17" s="12" t="str">
        <x:v>COM-02</x:v>
      </x:c>
    </x:row>
    <x:row r="18" ht="92" customHeight="1">
      <x:c r="A18" s="13" t="str">
        <x:v>COM-03</x:v>
      </x:c>
      <x:c r="B18" s="13" t="str">
        <x:v>RJHSE5080 (drawing RJHSE-5080)</x:v>
      </x:c>
      <x:c r="C18" s="28" t="n">
        <x:v>4</x:v>
      </x:c>
      <x:c r="D18" s="28" t="n">
        <x:v>0</x:v>
      </x:c>
      <x:c r="E18" s="28" t="n">
        <x:v>0</x:v>
      </x:c>
      <x:c r="F18" s="17" t="n">
        <x:f>IF(ISNUMBER(C18),MAX(0,C18-D18-E18),"UNKNOWN")</x:f>
        <x:v>4</x:v>
      </x:c>
      <x:c r="G18" s="29"/>
      <x:c r="H18" s="13" t="str">
        <x:v>UNPRICED</x:v>
      </x:c>
      <x:c r="I18" s="25" t="str">
        <x:f>IF(K18="ENCLOSURE QUOTE","IN QUOTE",IF(ISNUMBER(F18),IF(F18=0,0,IF(ISNUMBER(G18),ROUND(F18*G18,2),"UNKNOWN")),"UNKNOWN"))</x:f>
        <x:v>UNKNOWN</x:v>
      </x:c>
      <x:c r="J18" s="13" t="str">
        <x:v>DESIGN HOLD</x:v>
      </x:c>
      <x:c r="K18" s="13" t="str">
        <x:v>PART</x:v>
      </x:c>
      <x:c r="L18" s="13" t="str">
        <x:v>Four exact non-magnetic RJHSE5080 jacks retained. Published dimensions 15.75 x 14.99 x 13.21 mm from R5 manufacturer drawing. Hold final four until chassis/shield strategy and rear fit confirmed. No Ethernet MagJack substitution. Pass one actual rear-panel coupon with RJHSE5080, intended PCB standoffs and actual cable boot.</x:v>
      </x:c>
      <x:c r="M18" s="13" t="str"/>
      <x:c r="N18" s="13" t="str">
        <x:v>https://www.digikey.ca/en/products/detail/amphenol-icc-commercial-products/RJHSE5080/1242687</x:v>
      </x:c>
      <x:c r="O18" s="27" t="d">
        <x:v>2026-10-15T00:00:00.000Z</x:v>
      </x:c>
      <x:c r="P18" s="21"/>
      <x:c r="Q18" s="13" t="str">
        <x:v>COM-03</x:v>
      </x:c>
    </x:row>
    <x:row r="19" ht="76" customHeight="1">
      <x:c r="A19" s="12" t="str">
        <x:v>COM-04</x:v>
      </x:c>
      <x:c r="B19" s="12" t="str">
        <x:v>Exact cable wiring to measure</x:v>
      </x:c>
      <x:c r="C19" s="28" t="n">
        <x:v>4</x:v>
      </x:c>
      <x:c r="D19" s="28" t="n">
        <x:v>0</x:v>
      </x:c>
      <x:c r="E19" s="28" t="n">
        <x:v>0</x:v>
      </x:c>
      <x:c r="F19" s="16" t="n">
        <x:f>IF(ISNUMBER(C19),MAX(0,C19-D19-E19),"UNKNOWN")</x:f>
        <x:v>4</x:v>
      </x:c>
      <x:c r="G19" s="29"/>
      <x:c r="H19" s="12" t="str">
        <x:v>UNPRICED</x:v>
      </x:c>
      <x:c r="I19" s="24" t="str">
        <x:f>IF(K19="ENCLOSURE QUOTE","IN QUOTE",IF(ISNUMBER(F19),IF(F19=0,0,IF(ISNUMBER(G19),ROUND(F19*G19,2),"UNKNOWN")),"UNKNOWN"))</x:f>
        <x:v>UNKNOWN</x:v>
      </x:c>
      <x:c r="J19" s="12" t="str">
        <x:v>DESIGN HOLD</x:v>
      </x:c>
      <x:c r="K19" s="12" t="str">
        <x:v>PART</x:v>
      </x:c>
      <x:c r="L19" s="12" t="str">
        <x:v>Manufacturer PTR-10 MARK II manual supplies controller pin map (Interfaces tab). Actual installed PTR-10T variant, cable continuity, firmware and remote mode still need confirmation. One cable per independent port. Do not connect to HDBaseT, LAN or PoE.</x:v>
      </x:c>
      <x:c r="M19" s="12" t="str"/>
      <x:c r="N19" s="12" t="str"/>
      <x:c r="O19" s="26" t="d">
        <x:v>2026-10-15T00:00:00.000Z</x:v>
      </x:c>
      <x:c r="P19" s="20"/>
      <x:c r="Q19" s="12" t="str">
        <x:v>COM-04</x:v>
      </x:c>
    </x:row>
    <x:row r="20" ht="92" customHeight="1">
      <x:c r="A20" s="13" t="str">
        <x:v>COM-05</x:v>
      </x:c>
      <x:c r="B20" s="13" t="str">
        <x:v>MFR-25FBF52-100R</x:v>
      </x:c>
      <x:c r="C20" s="28" t="n">
        <x:v>4</x:v>
      </x:c>
      <x:c r="D20" s="28" t="n">
        <x:v>0</x:v>
      </x:c>
      <x:c r="E20" s="28" t="n">
        <x:v>0</x:v>
      </x:c>
      <x:c r="F20" s="17" t="n">
        <x:f>IF(ISNUMBER(C20),MAX(0,C20-D20-E20),"UNKNOWN")</x:f>
        <x:v>4</x:v>
      </x:c>
      <x:c r="G20" s="29"/>
      <x:c r="H20" s="13" t="str">
        <x:v>UNPRICED</x:v>
      </x:c>
      <x:c r="I20" s="25" t="str">
        <x:f>IF(K20="ENCLOSURE QUOTE","IN QUOTE",IF(ISNUMBER(F20),IF(F20=0,0,IF(ISNUMBER(G20),ROUND(F20*G20,2),"UNKNOWN")),"UNKNOWN"))</x:f>
        <x:v>UNKNOWN</x:v>
      </x:c>
      <x:c r="J20" s="13" t="str">
        <x:v>DESIGN HOLD</x:v>
      </x:c>
      <x:c r="K20" s="13" t="str">
        <x:v>PART</x:v>
      </x:c>
      <x:c r="L20" s="13" t="str">
        <x:v>Four localRX100ohm termination candidates, impedance dependent Four local RX termination positions. Nominal 100 ohms only if verified cable impedance agrees. Confirm termination at the head receiving end separately. Do not terminate both ends of every pair by habit. Price tier: Only4 termination candidates now; each price, fit/impedance HOLD.</x:v>
      </x:c>
      <x:c r="M20" s="13" t="str"/>
      <x:c r="N20" s="13" t="str">
        <x:v>https://www.digikey.ca/en/products/detail/yageo/MFR-25FBF52-100R/12795</x:v>
      </x:c>
      <x:c r="O20" s="27" t="d">
        <x:v>2026-10-15T00:00:00.000Z</x:v>
      </x:c>
      <x:c r="P20" s="21" t="n">
        <x:v>0.15</x:v>
      </x:c>
      <x:c r="Q20" s="13" t="str">
        <x:v>COM-05</x:v>
      </x:c>
    </x:row>
    <x:row r="21" ht="76" customHeight="1">
      <x:c r="A21" s="12" t="str">
        <x:v>COM-06</x:v>
      </x:c>
      <x:c r="B21" s="12" t="str">
        <x:v>TBD 560 Ω pair per RX channel, DNP proposal</x:v>
      </x:c>
      <x:c r="C21" s="28"/>
      <x:c r="D21" s="28" t="n">
        <x:v>0</x:v>
      </x:c>
      <x:c r="E21" s="28" t="n">
        <x:v>0</x:v>
      </x:c>
      <x:c r="F21" s="16" t="str">
        <x:f>IF(ISNUMBER(C21),MAX(0,C21-D21-E21),"UNKNOWN")</x:f>
        <x:v>UNKNOWN</x:v>
      </x:c>
      <x:c r="G21" s="29"/>
      <x:c r="H21" s="12" t="str">
        <x:v>UNPRICED</x:v>
      </x:c>
      <x:c r="I21" s="24" t="str">
        <x:f>IF(K21="ENCLOSURE QUOTE","IN QUOTE",IF(ISNUMBER(F21),IF(F21=0,0,IF(ISNUMBER(G21),ROUND(F21*G21,2),"UNKNOWN")),"UNKNOWN"))</x:f>
        <x:v>UNKNOWN</x:v>
      </x:c>
      <x:c r="J21" s="12" t="str">
        <x:v>DESIGN HOLD</x:v>
      </x:c>
      <x:c r="K21" s="12" t="str">
        <x:v>PART</x:v>
      </x:c>
      <x:c r="L21" s="12" t="str">
        <x:v>Terminated receiver fail-safe bias unresolved Required receiver idle review. Open-input fail-safe does not cover terminated or shorted inputs. The old 560/100/560 ohm network gives only 0.270 V nominal. Exact bias or another qualified receiver remains unresolved.</x:v>
      </x:c>
      <x:c r="M21" s="12" t="str"/>
      <x:c r="N21" s="12" t="str">
        <x:v>https://www.ti.com/lit/ds/symlink/am26lv32e.pdf</x:v>
      </x:c>
      <x:c r="O21" s="26" t="d">
        <x:v>2026-10-15T00:00:00.000Z</x:v>
      </x:c>
      <x:c r="P21" s="20"/>
      <x:c r="Q21" s="12" t="str">
        <x:v>COM-06</x:v>
      </x:c>
    </x:row>
    <x:row r="22" ht="124" customHeight="1">
      <x:c r="A22" s="13" t="str">
        <x:v>COM-07</x:v>
      </x:c>
      <x:c r="B22" s="13" t="str">
        <x:v>TBD matched surge / ESD clamp and series impedance</x:v>
      </x:c>
      <x:c r="C22" s="28"/>
      <x:c r="D22" s="28" t="n">
        <x:v>0</x:v>
      </x:c>
      <x:c r="E22" s="28" t="n">
        <x:v>0</x:v>
      </x:c>
      <x:c r="F22" s="17" t="str">
        <x:f>IF(ISNUMBER(C22),MAX(0,C22-D22-E22),"UNKNOWN")</x:f>
        <x:v>UNKNOWN</x:v>
      </x:c>
      <x:c r="G22" s="29"/>
      <x:c r="H22" s="13" t="str">
        <x:v>UNPRICED</x:v>
      </x:c>
      <x:c r="I22" s="25" t="str">
        <x:f>IF(K22="ENCLOSURE QUOTE","IN QUOTE",IF(ISNUMBER(F22),IF(F22=0,0,IF(ISNUMBER(G22),ROUND(F22*G22,2),"UNKNOWN")),"UNKNOWN"))</x:f>
        <x:v>UNKNOWN</x:v>
      </x:c>
      <x:c r="J22" s="13" t="str">
        <x:v>DESIGN HOLD</x:v>
      </x:c>
      <x:c r="K22" s="13" t="str">
        <x:v>PART</x:v>
      </x:c>
      <x:c r="L22" s="13" t="str">
        <x:v>Protect all eight differential pairs at jack entry: 16 signal conductors. Exact arrays/count/series elements unresolved. Match working voltage, clamp at surge current, leakage and receiver absolute limits. SM712 is not automatically compatible. Add child rows after circuit review; do not invent zero cost. Choose a complete entry-protection network using normal common-mode range and worst clamp voltage. Determine isolation from site grounding before layout. A TVS ESD rating alone is insufficient.</x:v>
      </x:c>
      <x:c r="M22" s="13" t="str"/>
      <x:c r="N22" s="13" t="str">
        <x:v>https://www.ti.com/lit/ds/symlink/am26lv31e.pdf
https://www.ti.com/lit/ds/symlink/am26lv32e.pdf</x:v>
      </x:c>
      <x:c r="O22" s="27" t="d">
        <x:v>2026-10-15T00:00:00.000Z</x:v>
      </x:c>
      <x:c r="P22" s="21"/>
      <x:c r="Q22" s="13" t="str">
        <x:v>COM-07</x:v>
      </x:c>
    </x:row>
    <x:row r="23" ht="76" customHeight="1">
      <x:c r="A23" s="12" t="str">
        <x:v>COM-08</x:v>
      </x:c>
      <x:c r="B23" s="12" t="str">
        <x:v>TBD common-reference / chassis bonding assembly</x:v>
      </x:c>
      <x:c r="C23" s="28" t="n">
        <x:v>1</x:v>
      </x:c>
      <x:c r="D23" s="28" t="n">
        <x:v>0</x:v>
      </x:c>
      <x:c r="E23" s="28" t="n">
        <x:v>0</x:v>
      </x:c>
      <x:c r="F23" s="16" t="n">
        <x:f>IF(ISNUMBER(C23),MAX(0,C23-D23-E23),"UNKNOWN")</x:f>
        <x:v>1</x:v>
      </x:c>
      <x:c r="G23" s="29"/>
      <x:c r="H23" s="12" t="str">
        <x:v>UNPRICED</x:v>
      </x:c>
      <x:c r="I23" s="24" t="str">
        <x:f>IF(K23="ENCLOSURE QUOTE","IN QUOTE",IF(ISNUMBER(F23),IF(F23=0,0,IF(ISNUMBER(G23),ROUND(F23*G23,2),"UNKNOWN")),"UNKNOWN"))</x:f>
        <x:v>UNKNOWN</x:v>
      </x:c>
      <x:c r="J23" s="12" t="str">
        <x:v>DESIGN HOLD</x:v>
      </x:c>
      <x:c r="K23" s="12" t="str">
        <x:v>PART</x:v>
      </x:c>
      <x:c r="L23" s="12" t="str">
        <x:v>Retain common-reference path and assess chassis coupling/ground potential. Document signal ground, chassis and any shield separately. Nonisolated baseline is conditional on site measurements; isolation would change power and PCB substantially.</x:v>
      </x:c>
      <x:c r="M23" s="12" t="str"/>
      <x:c r="N23" s="12" t="str"/>
      <x:c r="O23" s="26" t="d">
        <x:v>2026-10-15T00:00:00.000Z</x:v>
      </x:c>
      <x:c r="P23" s="20"/>
      <x:c r="Q23" s="12" t="str">
        <x:v>COM-08</x:v>
      </x:c>
    </x:row>
    <x:row r="24" ht="76" customHeight="1">
      <x:c r="A24" s="13" t="str">
        <x:v>COM-09</x:v>
      </x:c>
      <x:c r="B24" s="13" t="str">
        <x:v>RS-422 CAMERA 1-4 / NOT LAN / NO PoE</x:v>
      </x:c>
      <x:c r="C24" s="28" t="n">
        <x:v>1</x:v>
      </x:c>
      <x:c r="D24" s="28" t="n">
        <x:v>0</x:v>
      </x:c>
      <x:c r="E24" s="28" t="n">
        <x:v>0</x:v>
      </x:c>
      <x:c r="F24" s="17" t="n">
        <x:f>IF(ISNUMBER(C24),MAX(0,C24-D24-E24),"UNKNOWN")</x:f>
        <x:v>1</x:v>
      </x:c>
      <x:c r="G24" s="29"/>
      <x:c r="H24" s="13" t="str">
        <x:v>UNPRICED</x:v>
      </x:c>
      <x:c r="I24" s="25" t="str">
        <x:f>IF(K24="ENCLOSURE QUOTE","IN QUOTE",IF(ISNUMBER(F24),IF(F24=0,0,IF(ISNUMBER(G24),ROUND(F24*G24,2),"UNKNOWN")),"UNKNOWN"))</x:f>
        <x:v>UNKNOWN</x:v>
      </x:c>
      <x:c r="J24" s="13" t="str">
        <x:v>DESIGN HOLD</x:v>
      </x:c>
      <x:c r="K24" s="13" t="str">
        <x:v>PART</x:v>
      </x:c>
      <x:c r="L24" s="13" t="str">
        <x:v>Four clearly numbered serial labels and separate LAN label. Include NOT LAN / NO PoE at RS-422 ports. Incorporate into Protocase graphics quote, no separate label purchase assumed.</x:v>
      </x:c>
      <x:c r="M24" s="13" t="str"/>
      <x:c r="N24" s="13" t="str"/>
      <x:c r="O24" s="27" t="d">
        <x:v>2026-10-15T00:00:00.000Z</x:v>
      </x:c>
      <x:c r="P24" s="21"/>
      <x:c r="Q24" s="13" t="str">
        <x:v>COM-09</x:v>
      </x:c>
    </x:row>
    <x:row r="25" ht="76" customHeight="1">
      <x:c r="A25" s="12" t="str">
        <x:v>NET-02</x:v>
      </x:c>
      <x:c r="B25" s="12" t="str">
        <x:v>TBD Cat5e or Cat6 patch cable</x:v>
      </x:c>
      <x:c r="C25" s="28" t="n">
        <x:v>1</x:v>
      </x:c>
      <x:c r="D25" s="28" t="n">
        <x:v>0</x:v>
      </x:c>
      <x:c r="E25" s="28" t="n">
        <x:v>0</x:v>
      </x:c>
      <x:c r="F25" s="16" t="n">
        <x:f>IF(ISNUMBER(C25),MAX(0,C25-D25-E25),"UNKNOWN")</x:f>
        <x:v>1</x:v>
      </x:c>
      <x:c r="G25" s="29"/>
      <x:c r="H25" s="12" t="str">
        <x:v>UNPRICED</x:v>
      </x:c>
      <x:c r="I25" s="24" t="str">
        <x:f>IF(K25="ENCLOSURE QUOTE","IN QUOTE",IF(ISNUMBER(F25),IF(F25=0,0,IF(ISNUMBER(G25),ROUND(F25*G25,2),"UNKNOWN")),"UNKNOWN"))</x:f>
        <x:v>UNKNOWN</x:v>
      </x:c>
      <x:c r="J25" s="12" t="str">
        <x:v>DESIGN HOLD</x:v>
      </x:c>
      <x:c r="K25" s="12" t="str">
        <x:v>PART</x:v>
      </x:c>
      <x:c r="L25" s="12" t="str">
        <x:v>Future IP cable: inspect available church patch cables first. No new cable needed to prove four serial ports. Hold purchase until actual network location/length exists.</x:v>
      </x:c>
      <x:c r="M25" s="12" t="str"/>
      <x:c r="N25" s="12" t="str"/>
      <x:c r="O25" s="26" t="d">
        <x:v>2026-10-15T00:00:00.000Z</x:v>
      </x:c>
      <x:c r="P25" s="20"/>
      <x:c r="Q25" s="12" t="str">
        <x:v>NET-02</x:v>
      </x:c>
    </x:row>
    <x:row r="26" ht="76" customHeight="1">
      <x:c r="A26" s="13" t="str">
        <x:v>UI-01</x:v>
      </x:c>
      <x:c r="B26" s="13" t="str">
        <x:v>NX4024T032_011, actual revision to inspect</x:v>
      </x:c>
      <x:c r="C26" s="28" t="n">
        <x:v>1</x:v>
      </x:c>
      <x:c r="D26" s="28" t="n">
        <x:v>1</x:v>
      </x:c>
      <x:c r="E26" s="28" t="n">
        <x:v>0</x:v>
      </x:c>
      <x:c r="F26" s="17" t="n">
        <x:f>IF(ISNUMBER(C26),MAX(0,C26-D26-E26),"UNKNOWN")</x:f>
        <x:v>0</x:v>
      </x:c>
      <x:c r="G26" s="29" t="n">
        <x:v>0</x:v>
      </x:c>
      <x:c r="H26" s="13" t="str">
        <x:v>OWNED</x:v>
      </x:c>
      <x:c r="I26" s="25" t="n">
        <x:f>IF(K26="ENCLOSURE QUOTE","IN QUOTE",IF(ISNUMBER(F26),IF(F26=0,0,IF(ISNUMBER(G26),ROUND(F26*G26,2),"UNKNOWN")),"UNKNOWN"))</x:f>
        <x:v>0</x:v>
      </x:c>
      <x:c r="J26" s="13" t="str">
        <x:v>OWNED</x:v>
      </x:c>
      <x:c r="K26" s="13" t="str">
        <x:v>PART</x:v>
      </x:c>
      <x:c r="L26" s="13" t="str">
        <x:v>Owned NX4024T032_011 per owner. Exact suffix/revision and touch unverified; no touchscreen required.</x:v>
      </x:c>
      <x:c r="M26" s="13" t="str"/>
      <x:c r="N26" s="13" t="str">
        <x:v>https://cdn.nextion.tech/wp-content/uploads/2022/03/NX4032T032_dimension.pdf
https://nextion.tech/datasheets/nx4024t032/</x:v>
      </x:c>
      <x:c r="O26" s="27" t="d">
        <x:v>2026-10-15T00:00:00.000Z</x:v>
      </x:c>
      <x:c r="P26" s="21"/>
      <x:c r="Q26" s="13" t="str">
        <x:v>UI-01</x:v>
      </x:c>
    </x:row>
    <x:row r="27" ht="76" customHeight="1">
      <x:c r="A27" s="12" t="str">
        <x:v>UI-02</x:v>
      </x:c>
      <x:c r="B27" s="12" t="str">
        <x:v>TBD 4-circuit locking power/UART connection</x:v>
      </x:c>
      <x:c r="C27" s="28" t="n">
        <x:v>1</x:v>
      </x:c>
      <x:c r="D27" s="28" t="n">
        <x:v>0</x:v>
      </x:c>
      <x:c r="E27" s="28" t="n">
        <x:v>0</x:v>
      </x:c>
      <x:c r="F27" s="16" t="n">
        <x:f>IF(ISNUMBER(C27),MAX(0,C27-D27-E27),"UNKNOWN")</x:f>
        <x:v>1</x:v>
      </x:c>
      <x:c r="G27" s="29"/>
      <x:c r="H27" s="12" t="str">
        <x:v>UNPRICED</x:v>
      </x:c>
      <x:c r="I27" s="24" t="str">
        <x:f>IF(K27="ENCLOSURE QUOTE","IN QUOTE",IF(ISNUMBER(F27),IF(F27=0,0,IF(ISNUMBER(G27),ROUND(F27*G27,2),"UNKNOWN")),"UNKNOWN"))</x:f>
        <x:v>UNKNOWN</x:v>
      </x:c>
      <x:c r="J27" s="12" t="str">
        <x:v>DESIGN HOLD</x:v>
      </x:c>
      <x:c r="K27" s="12" t="str">
        <x:v>PART</x:v>
      </x:c>
      <x:c r="L27" s="12" t="str">
        <x:v>Removable four-net harness: regulated 5 V, ground, controller TX to display RX, display TX to controller RX. Verify pin order from actual display, not wire colours. Add latch/strain relief at controller and retain supplied plug where compatible.</x:v>
      </x:c>
      <x:c r="M27" s="12" t="str"/>
      <x:c r="N27" s="12" t="str"/>
      <x:c r="O27" s="26" t="d">
        <x:v>2026-10-15T00:00:00.000Z</x:v>
      </x:c>
      <x:c r="P27" s="20"/>
      <x:c r="Q27" s="12" t="str">
        <x:v>UI-02</x:v>
      </x:c>
    </x:row>
    <x:row r="28" ht="108" customHeight="1">
      <x:c r="A28" s="13" t="str">
        <x:v>UI-03</x:v>
      </x:c>
      <x:c r="B28" s="13" t="str">
        <x:v>SN74LVC1G17DBVR + conditional SN74AHCT1G125DBVR</x:v>
      </x:c>
      <x:c r="C28" s="28" t="n">
        <x:v>1</x:v>
      </x:c>
      <x:c r="D28" s="28" t="n">
        <x:v>0</x:v>
      </x:c>
      <x:c r="E28" s="28" t="n">
        <x:v>0</x:v>
      </x:c>
      <x:c r="F28" s="17" t="n">
        <x:f>IF(ISNUMBER(C28),MAX(0,C28-D28-E28),"UNKNOWN")</x:f>
        <x:v>1</x:v>
      </x:c>
      <x:c r="G28" s="29"/>
      <x:c r="H28" s="13" t="str">
        <x:v>UNPRICED</x:v>
      </x:c>
      <x:c r="I28" s="25" t="str">
        <x:f>IF(K28="ENCLOSURE QUOTE","IN QUOTE",IF(ISNUMBER(F28),IF(F28=0,0,IF(ISNUMBER(G28),ROUND(F28*G28,2),"UNKNOWN")),"UNKNOWN"))</x:f>
        <x:v>UNKNOWN</x:v>
      </x:c>
      <x:c r="J28" s="13" t="str">
        <x:v>DESIGN HOLD</x:v>
      </x:c>
      <x:c r="K28" s="13" t="str">
        <x:v>PART</x:v>
      </x:c>
      <x:c r="L28" s="13" t="str">
        <x:v>UART interface BLOCKED until exact owned Nextion revision, TX high voltage/RX threshold and power-off input injection are qualified. Proposed LVC input buffer is a candidate, not released; a 5 V AHCT upshifter can overdrive a 3.3 V-only Nextion input and is NOT the default. Prefer direct 3.3 V UART only with documented thresholds and power sequencing; do not connect unverified 5 V output to RP2040.</x:v>
      </x:c>
      <x:c r="M28" s="13" t="str"/>
      <x:c r="N28" s="13" t="str">
        <x:v>https://www.ti.com/lit/ds/symlink/sn74lvc1g17.pdf
https://www.ti.com/lit/ds/symlink/sn74ahct1g125.pdf</x:v>
      </x:c>
      <x:c r="O28" s="27" t="d">
        <x:v>2026-10-15T00:00:00.000Z</x:v>
      </x:c>
      <x:c r="P28" s="21"/>
      <x:c r="Q28" s="13" t="str">
        <x:v>UI-03</x:v>
      </x:c>
    </x:row>
    <x:row r="29" ht="76" customHeight="1">
      <x:c r="A29" s="12" t="str">
        <x:v>IN-01</x:v>
      </x:c>
      <x:c r="B29" s="12" t="str">
        <x:v>CD74HC165E</x:v>
      </x:c>
      <x:c r="C29" s="28" t="n">
        <x:v>6</x:v>
      </x:c>
      <x:c r="D29" s="28" t="n">
        <x:v>0</x:v>
      </x:c>
      <x:c r="E29" s="28" t="n">
        <x:v>0</x:v>
      </x:c>
      <x:c r="F29" s="16" t="n">
        <x:f>IF(ISNUMBER(C29),MAX(0,C29-D29-E29),"UNKNOWN")</x:f>
        <x:v>6</x:v>
      </x:c>
      <x:c r="G29" s="29"/>
      <x:c r="H29" s="12" t="str">
        <x:v>UNPRICED</x:v>
      </x:c>
      <x:c r="I29" s="24" t="str">
        <x:f>IF(K29="ENCLOSURE QUOTE","IN QUOTE",IF(ISNUMBER(F29),IF(F29=0,0,IF(ISNUMBER(G29),ROUND(F29*G29,2),"UNKNOWN")),"UNKNOWN"))</x:f>
        <x:v>UNKNOWN</x:v>
      </x:c>
      <x:c r="J29" s="12" t="str">
        <x:v>DESIGN HOLD</x:v>
      </x:c>
      <x:c r="K29" s="12" t="str">
        <x:v>PART</x:v>
      </x:c>
      <x:c r="L29" s="12" t="str">
        <x:v>6x8=48 inputs for34 switches+12 encoder phases=46;2 spare tied to defined levels. N encoder has no push switch.</x:v>
      </x:c>
      <x:c r="M29" s="12" t="str"/>
      <x:c r="N29" s="12" t="str">
        <x:v>https://www.digikey.ca/en/products/detail/texas-instruments/CD74HC165E/475911</x:v>
      </x:c>
      <x:c r="O29" s="26" t="d">
        <x:v>2026-10-15T00:00:00.000Z</x:v>
      </x:c>
      <x:c r="P29" s="20" t="n">
        <x:v>1.87</x:v>
      </x:c>
      <x:c r="Q29" s="12" t="str">
        <x:v>IN-01</x:v>
      </x:c>
    </x:row>
    <x:row r="30" ht="76" customHeight="1">
      <x:c r="A30" s="13" t="str">
        <x:v>IN-02</x:v>
      </x:c>
      <x:c r="B30" s="13" t="str">
        <x:v>SN74HC595N</x:v>
      </x:c>
      <x:c r="C30" s="28" t="n">
        <x:v>4</x:v>
      </x:c>
      <x:c r="D30" s="28" t="n">
        <x:v>0</x:v>
      </x:c>
      <x:c r="E30" s="28" t="n">
        <x:v>0</x:v>
      </x:c>
      <x:c r="F30" s="17" t="n">
        <x:f>IF(ISNUMBER(C30),MAX(0,C30-D30-E30),"UNKNOWN")</x:f>
        <x:v>4</x:v>
      </x:c>
      <x:c r="G30" s="29"/>
      <x:c r="H30" s="13" t="str">
        <x:v>UNPRICED</x:v>
      </x:c>
      <x:c r="I30" s="25" t="str">
        <x:f>IF(K30="ENCLOSURE QUOTE","IN QUOTE",IF(ISNUMBER(F30),IF(F30=0,0,IF(ISNUMBER(G30),ROUND(F30*G30,2),"UNKNOWN")),"UNKNOWN"))</x:f>
        <x:v>UNKNOWN</x:v>
      </x:c>
      <x:c r="J30" s="13" t="str">
        <x:v>DESIGN HOLD</x:v>
      </x:c>
      <x:c r="K30" s="13" t="str">
        <x:v>PART</x:v>
      </x:c>
      <x:c r="L30" s="13" t="str">
        <x:v>4x8=32 output bits for27 LEDs, 5 spare. Shared clock/LED_DATA/latch and common /OE; final32 of48 scan clocks load output image.</x:v>
      </x:c>
      <x:c r="M30" s="13" t="str"/>
      <x:c r="N30" s="13" t="str">
        <x:v>https://www.digikey.ca/en/products/detail/texas-instruments/SN74HC595N/277246</x:v>
      </x:c>
      <x:c r="O30" s="27" t="d">
        <x:v>2026-10-15T00:00:00.000Z</x:v>
      </x:c>
      <x:c r="P30" s="21" t="n">
        <x:v>3.15</x:v>
      </x:c>
      <x:c r="Q30" s="13" t="str">
        <x:v>IN-02</x:v>
      </x:c>
    </x:row>
    <x:row r="31" ht="76" customHeight="1">
      <x:c r="A31" s="12" t="str">
        <x:v>IN-04</x:v>
      </x:c>
      <x:c r="B31" s="12" t="str">
        <x:v>MFR-25FBF52-1K5</x:v>
      </x:c>
      <x:c r="C31" s="28" t="n">
        <x:v>27</x:v>
      </x:c>
      <x:c r="D31" s="28" t="n">
        <x:v>0</x:v>
      </x:c>
      <x:c r="E31" s="28" t="n">
        <x:v>0</x:v>
      </x:c>
      <x:c r="F31" s="16" t="n">
        <x:f>IF(ISNUMBER(C31),MAX(0,C31-D31-E31),"UNKNOWN")</x:f>
        <x:v>27</x:v>
      </x:c>
      <x:c r="G31" s="29"/>
      <x:c r="H31" s="12" t="str">
        <x:v>UNPRICED</x:v>
      </x:c>
      <x:c r="I31" s="24" t="str">
        <x:f>IF(K31="ENCLOSURE QUOTE","IN QUOTE",IF(ISNUMBER(F31),IF(F31=0,0,IF(ISNUMBER(G31),ROUND(F31*G31,2),"UNKNOWN")),"UNKNOWN"))</x:f>
        <x:v>UNKNOWN</x:v>
      </x:c>
      <x:c r="J31" s="12" t="str">
        <x:v>DESIGN HOLD</x:v>
      </x:c>
      <x:c r="K31" s="12" t="str">
        <x:v>PART</x:v>
      </x:c>
      <x:c r="L31" s="12" t="str">
        <x:v>27 equal LED limit resistors: trial1.5k at5V, nominal Vf2V gives2mA. Vf, LED current limit and desired brightness require exact3F LED data and optical coupon; do not treat as released.</x:v>
      </x:c>
      <x:c r="M31" s="12" t="str"/>
      <x:c r="N31" s="12" t="str">
        <x:v>https://www.digikey.ca/en/products/detail/yageo/MFR-25FBF52-1K5/13046</x:v>
      </x:c>
      <x:c r="O31" s="26" t="d">
        <x:v>2026-10-15T00:00:00.000Z</x:v>
      </x:c>
      <x:c r="P31" s="20" t="n">
        <x:v>0.063</x:v>
      </x:c>
      <x:c r="Q31" s="12" t="str">
        <x:v>IN-04</x:v>
      </x:c>
    </x:row>
    <x:row r="32" ht="76" customHeight="1">
      <x:c r="A32" s="13" t="str">
        <x:v>IN-05</x:v>
      </x:c>
      <x:c r="B32" s="13" t="str">
        <x:v>AO3400A</x:v>
      </x:c>
      <x:c r="C32" s="28" t="n">
        <x:v>27</x:v>
      </x:c>
      <x:c r="D32" s="28" t="n">
        <x:v>0</x:v>
      </x:c>
      <x:c r="E32" s="28" t="n">
        <x:v>0</x:v>
      </x:c>
      <x:c r="F32" s="17" t="n">
        <x:f>IF(ISNUMBER(C32),MAX(0,C32-D32-E32),"UNKNOWN")</x:f>
        <x:v>27</x:v>
      </x:c>
      <x:c r="G32" s="29"/>
      <x:c r="H32" s="13" t="str">
        <x:v>UNPRICED</x:v>
      </x:c>
      <x:c r="I32" s="25" t="str">
        <x:f>IF(K32="ENCLOSURE QUOTE","IN QUOTE",IF(ISNUMBER(F32),IF(F32=0,0,IF(ISNUMBER(G32),ROUND(F32*G32,2),"UNKNOWN")),"UNKNOWN"))</x:f>
        <x:v>UNKNOWN</x:v>
      </x:c>
      <x:c r="J32" s="13" t="str">
        <x:v>DESIGN HOLD</x:v>
      </x:c>
      <x:c r="K32" s="13" t="str">
        <x:v>PART</x:v>
      </x:c>
      <x:c r="L32" s="13" t="str">
        <x:v>27 low-side AO3400A sink stages, one per illuminated key. HC595 drives gates only; no LED load through595 outputs. PCB and per-output validation pending.</x:v>
      </x:c>
      <x:c r="M32" s="13" t="str"/>
      <x:c r="N32" s="13" t="str">
        <x:v>https://www.digikey.ca/en/products/detail/alpha-omega-semiconductor-inc/AO3400A/1855772</x:v>
      </x:c>
      <x:c r="O32" s="27" t="d">
        <x:v>2026-10-15T00:00:00.000Z</x:v>
      </x:c>
      <x:c r="P32" s="21" t="n">
        <x:v>0.514</x:v>
      </x:c>
      <x:c r="Q32" s="13" t="str">
        <x:v>IN-05</x:v>
      </x:c>
    </x:row>
    <x:row r="33" ht="76" customHeight="1">
      <x:c r="A33" s="12" t="str">
        <x:v>PWR-01</x:v>
      </x:c>
      <x:c r="B33" s="12" t="str">
        <x:v>GST18U05-P1J</x:v>
      </x:c>
      <x:c r="C33" s="28" t="n">
        <x:v>1</x:v>
      </x:c>
      <x:c r="D33" s="28" t="n">
        <x:v>0</x:v>
      </x:c>
      <x:c r="E33" s="28" t="n">
        <x:v>0</x:v>
      </x:c>
      <x:c r="F33" s="16" t="n">
        <x:f>IF(ISNUMBER(C33),MAX(0,C33-D33-E33),"UNKNOWN")</x:f>
        <x:v>1</x:v>
      </x:c>
      <x:c r="G33" s="29" t="n">
        <x:v>21.12</x:v>
      </x:c>
      <x:c r="H33" s="12" t="str">
        <x:v>CHECKED CAD</x:v>
      </x:c>
      <x:c r="I33" s="24" t="n">
        <x:f>IF(K33="ENCLOSURE QUOTE","IN QUOTE",IF(ISNUMBER(F33),IF(F33=0,0,IF(ISNUMBER(G33),ROUND(F33*G33,2),"UNKNOWN")),"UNKNOWN"))</x:f>
        <x:v>21.12</x:v>
      </x:c>
      <x:c r="J33" s="12" t="str">
        <x:v>POWER DESIGN HOLD</x:v>
      </x:c>
      <x:c r="K33" s="12" t="str">
        <x:v>PART</x:v>
      </x:c>
      <x:c r="L33" s="12" t="str">
        <x:v>Verified external5V3A adapter for bench; no paid order Verified 5 V, 3 A external adapter. Downstream fuses, reverse protection, USB interaction, power-off injection and actual load remain unresolved. No paid order placed. Price tier: 5 V 3 A 15 W external adapter; no mains cord.</x:v>
      </x:c>
      <x:c r="M33" s="12" t="str"/>
      <x:c r="N33" s="12" t="str">
        <x:v>https://www.digikey.ca/en/products/detail/mean-well-usa-inc/GST18U05-P1J/7703631</x:v>
      </x:c>
      <x:c r="O33" s="26" t="d">
        <x:v>2026-10-15T00:00:00.000Z</x:v>
      </x:c>
      <x:c r="P33" s="20" t="n">
        <x:v>21.12</x:v>
      </x:c>
      <x:c r="Q33" s="12" t="str">
        <x:v>PWR-01</x:v>
      </x:c>
    </x:row>
    <x:row r="34" ht="76" customHeight="1">
      <x:c r="A34" s="13" t="str">
        <x:v>PWR-02</x:v>
      </x:c>
      <x:c r="B34" s="13" t="str">
        <x:v>TBD panel jack matching 5.5 / 2.1 mm centre-positive plug</x:v>
      </x:c>
      <x:c r="C34" s="28" t="n">
        <x:v>1</x:v>
      </x:c>
      <x:c r="D34" s="28" t="n">
        <x:v>0</x:v>
      </x:c>
      <x:c r="E34" s="28" t="n">
        <x:v>0</x:v>
      </x:c>
      <x:c r="F34" s="17" t="n">
        <x:f>IF(ISNUMBER(C34),MAX(0,C34-D34-E34),"UNKNOWN")</x:f>
        <x:v>1</x:v>
      </x:c>
      <x:c r="G34" s="29"/>
      <x:c r="H34" s="13" t="str">
        <x:v>UNPRICED</x:v>
      </x:c>
      <x:c r="I34" s="25" t="str">
        <x:f>IF(K34="ENCLOSURE QUOTE","IN QUOTE",IF(ISNUMBER(F34),IF(F34=0,0,IF(ISNUMBER(G34),ROUND(F34*G34,2),"UNKNOWN")),"UNKNOWN"))</x:f>
        <x:v>UNKNOWN</x:v>
      </x:c>
      <x:c r="J34" s="13" t="str">
        <x:v>DESIGN HOLD</x:v>
      </x:c>
      <x:c r="K34" s="13" t="str">
        <x:v>PART</x:v>
      </x:c>
      <x:c r="L34" s="13" t="str">
        <x:v>Exact panel power jack remains open. Must mate P1J 5.5/2.1 mm plug, tolerate chosen fuse/current, insulated mounting and retained harness. PJ-102A researched but rejected as final panel choice: PCB mount and 2.5 A rating. Obtain matching manufacturer panel-jack drawing before cutout.</x:v>
      </x:c>
      <x:c r="M34" s="13" t="str"/>
      <x:c r="N34" s="13" t="str"/>
      <x:c r="O34" s="27" t="d">
        <x:v>2026-10-15T00:00:00.000Z</x:v>
      </x:c>
      <x:c r="P34" s="21"/>
      <x:c r="Q34" s="13" t="str">
        <x:v>PWR-02</x:v>
      </x:c>
    </x:row>
    <x:row r="35" ht="76" customHeight="1">
      <x:c r="A35" s="12" t="str">
        <x:v>PWR-03</x:v>
      </x:c>
      <x:c r="B35" s="12" t="str">
        <x:v>TBD fuse + accessible holder, rating from measured load</x:v>
      </x:c>
      <x:c r="C35" s="28" t="n">
        <x:v>1</x:v>
      </x:c>
      <x:c r="D35" s="28" t="n">
        <x:v>0</x:v>
      </x:c>
      <x:c r="E35" s="28" t="n">
        <x:v>0</x:v>
      </x:c>
      <x:c r="F35" s="16" t="n">
        <x:f>IF(ISNUMBER(C35),MAX(0,C35-D35-E35),"UNKNOWN")</x:f>
        <x:v>1</x:v>
      </x:c>
      <x:c r="G35" s="29"/>
      <x:c r="H35" s="12" t="str">
        <x:v>UNPRICED</x:v>
      </x:c>
      <x:c r="I35" s="24" t="str">
        <x:f>IF(K35="ENCLOSURE QUOTE","IN QUOTE",IF(ISNUMBER(F35),IF(F35=0,0,IF(ISNUMBER(G35),ROUND(F35*G35,2),"UNKNOWN")),"UNKNOWN"))</x:f>
        <x:v>UNKNOWN</x:v>
      </x:c>
      <x:c r="J35" s="12" t="str">
        <x:v>DESIGN HOLD</x:v>
      </x:c>
      <x:c r="K35" s="12" t="str">
        <x:v>PART</x:v>
      </x:c>
      <x:c r="L35" s="12" t="str">
        <x:v>One whole-unit fuse/holder circuit required; value/type not chosen. Measure cold-start and steady load, then coordinate wire, jack, protection IC and supply fault current. A 3 A supply does not imply a 3 A fuse.</x:v>
      </x:c>
      <x:c r="M35" s="12" t="str"/>
      <x:c r="N35" s="12" t="str"/>
      <x:c r="O35" s="26" t="d">
        <x:v>2026-10-15T00:00:00.000Z</x:v>
      </x:c>
      <x:c r="P35" s="20"/>
      <x:c r="Q35" s="12" t="str">
        <x:v>PWR-03</x:v>
      </x:c>
    </x:row>
    <x:row r="36" ht="76" customHeight="1">
      <x:c r="A36" s="13" t="str">
        <x:v>PWR-04</x:v>
      </x:c>
      <x:c r="B36" s="13" t="str">
        <x:v>LM66100DCKR circuit, exact device count TBD</x:v>
      </x:c>
      <x:c r="C36" s="28"/>
      <x:c r="D36" s="28" t="n">
        <x:v>0</x:v>
      </x:c>
      <x:c r="E36" s="28" t="n">
        <x:v>0</x:v>
      </x:c>
      <x:c r="F36" s="17" t="str">
        <x:f>IF(ISNUMBER(C36),MAX(0,C36-D36-E36),"UNKNOWN")</x:f>
        <x:v>UNKNOWN</x:v>
      </x:c>
      <x:c r="G36" s="29"/>
      <x:c r="H36" s="13" t="str">
        <x:v>UNPRICED</x:v>
      </x:c>
      <x:c r="I36" s="25" t="str">
        <x:f>IF(K36="ENCLOSURE QUOTE","IN QUOTE",IF(ISNUMBER(F36),IF(F36=0,0,IF(ISNUMBER(G36),ROUND(F36*G36,2),"UNKNOWN")),"UNKNOWN"))</x:f>
        <x:v>UNKNOWN</x:v>
      </x:c>
      <x:c r="J36" s="13" t="str">
        <x:v>DESIGN HOLD</x:v>
      </x:c>
      <x:c r="K36" s="13" t="str">
        <x:v>PART</x:v>
      </x:c>
      <x:c r="L36" s="13" t="str">
        <x:v>LM66100DCKR is only a candidate ideal-diode element, not complete overcurrent protection. R5 quantity one is not a validated USB/DC OR-ing topology. Verify device current limit/rating, reverse blocking, USB backfeed, voltage drop and package assembly; exact count TBD.</x:v>
      </x:c>
      <x:c r="M36" s="13" t="str"/>
      <x:c r="N36" s="13" t="str">
        <x:v>https://www.ti.com/lit/ds/symlink/lm66100.pdf</x:v>
      </x:c>
      <x:c r="O36" s="27" t="d">
        <x:v>2026-10-15T00:00:00.000Z</x:v>
      </x:c>
      <x:c r="P36" s="21"/>
      <x:c r="Q36" s="13" t="str">
        <x:v>PWR-04</x:v>
      </x:c>
    </x:row>
    <x:row r="37" ht="76" customHeight="1">
      <x:c r="A37" s="12" t="str">
        <x:v>PWR-05</x:v>
      </x:c>
      <x:c r="B37" s="12" t="str">
        <x:v>MCP1700-3302E/TO, candidate</x:v>
      </x:c>
      <x:c r="C37" s="28" t="n">
        <x:v>1</x:v>
      </x:c>
      <x:c r="D37" s="28" t="n">
        <x:v>0</x:v>
      </x:c>
      <x:c r="E37" s="28" t="n">
        <x:v>0</x:v>
      </x:c>
      <x:c r="F37" s="16" t="n">
        <x:f>IF(ISNUMBER(C37),MAX(0,C37-D37-E37),"UNKNOWN")</x:f>
        <x:v>1</x:v>
      </x:c>
      <x:c r="G37" s="29"/>
      <x:c r="H37" s="12" t="str">
        <x:v>UNPRICED</x:v>
      </x:c>
      <x:c r="I37" s="24" t="str">
        <x:f>IF(K37="ENCLOSURE QUOTE","IN QUOTE",IF(ISNUMBER(F37),IF(F37=0,0,IF(ISNUMBER(G37),ROUND(F37*G37,2),"UNKNOWN")),"UNKNOWN"))</x:f>
        <x:v>UNKNOWN</x:v>
      </x:c>
      <x:c r="J37" s="12" t="str">
        <x:v>DESIGN HOLD</x:v>
      </x:c>
      <x:c r="K37" s="12" t="str">
        <x:v>PART</x:v>
      </x:c>
      <x:c r="L37" s="12" t="str">
        <x:v>MCP1700 250mA candidate for AUX_3V3 only;190-200mA prior normal-load estimate requires recalculation with46 input pulls, bus bias and thermal limits. No rail paralleling.</x:v>
      </x:c>
      <x:c r="M37" s="12" t="str"/>
      <x:c r="N37" s="12" t="str">
        <x:v>https://www.microchip.com/content/dam/mchp/documents/APID/ProductDocuments/DataSheets/MCP1700-Data-Sheet-20001826F.pdf</x:v>
      </x:c>
      <x:c r="O37" s="26" t="d">
        <x:v>2026-10-15T00:00:00.000Z</x:v>
      </x:c>
      <x:c r="P37" s="20"/>
      <x:c r="Q37" s="12" t="str">
        <x:v>PWR-05</x:v>
      </x:c>
    </x:row>
    <x:row r="38" ht="76" customHeight="1">
      <x:c r="A38" s="13" t="str">
        <x:v>PWR-06</x:v>
      </x:c>
      <x:c r="B38" s="13" t="str">
        <x:v>ECA-1CM220, 22 µF / 16 V candidate</x:v>
      </x:c>
      <x:c r="C38" s="28" t="n">
        <x:v>2</x:v>
      </x:c>
      <x:c r="D38" s="28" t="n">
        <x:v>0</x:v>
      </x:c>
      <x:c r="E38" s="28" t="n">
        <x:v>0</x:v>
      </x:c>
      <x:c r="F38" s="17" t="n">
        <x:f>IF(ISNUMBER(C38),MAX(0,C38-D38-E38),"UNKNOWN")</x:f>
        <x:v>2</x:v>
      </x:c>
      <x:c r="G38" s="29"/>
      <x:c r="H38" s="13" t="str">
        <x:v>UNPRICED</x:v>
      </x:c>
      <x:c r="I38" s="25" t="str">
        <x:f>IF(K38="ENCLOSURE QUOTE","IN QUOTE",IF(ISNUMBER(F38),IF(F38=0,0,IF(ISNUMBER(G38),ROUND(F38*G38,2),"UNKNOWN")),"UNKNOWN"))</x:f>
        <x:v>UNKNOWN</x:v>
      </x:c>
      <x:c r="J38" s="13" t="str">
        <x:v>DESIGN HOLD</x:v>
      </x:c>
      <x:c r="K38" s="13" t="str">
        <x:v>PART</x:v>
      </x:c>
      <x:c r="L38" s="13" t="str">
        <x:v>Two 22 uF / 16 V Panasonic ECA-1CM220 are provisional bulk, not replacements for regulator-required ceramic capacitors. Check polarity, ESR, height, ripple and display inrush; current price not checked.</x:v>
      </x:c>
      <x:c r="M38" s="13" t="str"/>
      <x:c r="N38" s="13" t="str"/>
      <x:c r="O38" s="27" t="d">
        <x:v>2026-10-15T00:00:00.000Z</x:v>
      </x:c>
      <x:c r="P38" s="21"/>
      <x:c r="Q38" s="13" t="str">
        <x:v>PWR-06</x:v>
      </x:c>
    </x:row>
    <x:row r="39" ht="76" customHeight="1">
      <x:c r="A39" s="12" t="str">
        <x:v>PWR-08</x:v>
      </x:c>
      <x:c r="B39" s="12" t="str">
        <x:v>TBD display branch fuse / current-limited switch</x:v>
      </x:c>
      <x:c r="C39" s="28" t="n">
        <x:v>1</x:v>
      </x:c>
      <x:c r="D39" s="28" t="n">
        <x:v>0</x:v>
      </x:c>
      <x:c r="E39" s="28" t="n">
        <x:v>0</x:v>
      </x:c>
      <x:c r="F39" s="16" t="n">
        <x:f>IF(ISNUMBER(C39),MAX(0,C39-D39-E39),"UNKNOWN")</x:f>
        <x:v>1</x:v>
      </x:c>
      <x:c r="G39" s="29"/>
      <x:c r="H39" s="12" t="str">
        <x:v>UNPRICED</x:v>
      </x:c>
      <x:c r="I39" s="24" t="str">
        <x:f>IF(K39="ENCLOSURE QUOTE","IN QUOTE",IF(ISNUMBER(F39),IF(F39=0,0,IF(ISNUMBER(G39),ROUND(F39*G39,2),"UNKNOWN")),"UNKNOWN"))</x:f>
        <x:v>UNKNOWN</x:v>
      </x:c>
      <x:c r="J39" s="12" t="str">
        <x:v>DESIGN HOLD</x:v>
      </x:c>
      <x:c r="K39" s="12" t="str">
        <x:v>PART</x:v>
      </x:c>
      <x:c r="L39" s="12" t="str">
        <x:v>Display branch current limiting remains conditional on conductor sizing and whole-unit fuse. Do not duplicate a fuse without purpose. Review display short/inrush effect and choose branch device only if needed to protect wiring or maintain controller operation.</x:v>
      </x:c>
      <x:c r="M39" s="12" t="str"/>
      <x:c r="N39" s="12" t="str"/>
      <x:c r="O39" s="26" t="d">
        <x:v>2026-10-15T00:00:00.000Z</x:v>
      </x:c>
      <x:c r="P39" s="20"/>
      <x:c r="Q39" s="12" t="str">
        <x:v>PWR-08</x:v>
      </x:c>
    </x:row>
    <x:row r="40" ht="76" customHeight="1">
      <x:c r="A40" s="13" t="str">
        <x:v>PCB-01</x:v>
      </x:c>
      <x:c r="B40" s="13" t="str">
        <x:v>Custom R6.1 MAIN; outline and mounting pattern owner-defined</x:v>
      </x:c>
      <x:c r="C40" s="28" t="n">
        <x:v>1</x:v>
      </x:c>
      <x:c r="D40" s="28" t="n">
        <x:v>0</x:v>
      </x:c>
      <x:c r="E40" s="28" t="n">
        <x:v>0</x:v>
      </x:c>
      <x:c r="F40" s="17" t="n">
        <x:f>IF(ISNUMBER(C40),MAX(0,C40-D40-E40),"UNKNOWN")</x:f>
        <x:v>1</x:v>
      </x:c>
      <x:c r="G40" s="29"/>
      <x:c r="H40" s="13" t="str">
        <x:v>UNPRICED</x:v>
      </x:c>
      <x:c r="I40" s="25" t="str">
        <x:f>IF(K40="ENCLOSURE QUOTE","IN QUOTE",IF(ISNUMBER(F40),IF(F40=0,0,IF(ISNUMBER(G40),ROUND(F40*G40,2),"UNKNOWN")),"UNKNOWN"))</x:f>
        <x:v>UNKNOWN</x:v>
      </x:c>
      <x:c r="J40" s="13" t="str">
        <x:v>DESIGN HOLD</x:v>
      </x:c>
      <x:c r="K40" s="13" t="str">
        <x:v>PART</x:v>
      </x:c>
      <x:c r="L40" s="13" t="str">
        <x:v>Proposed MAIN / control board references only. Actual board count, dimensions, holes and sponsor quote are open.</x:v>
      </x:c>
      <x:c r="M40" s="13" t="str"/>
      <x:c r="N40" s="13" t="str"/>
      <x:c r="O40" s="27" t="d">
        <x:v>2026-10-15T00:00:00.000Z</x:v>
      </x:c>
      <x:c r="P40" s="21"/>
      <x:c r="Q40" s="13" t="str">
        <x:v>PCB-01</x:v>
      </x:c>
    </x:row>
    <x:row r="41" ht="76" customHeight="1">
      <x:c r="A41" s="12" t="str">
        <x:v>PCB-02</x:v>
      </x:c>
      <x:c r="B41" s="12" t="str">
        <x:v>Custom R6.1 KEY-L; outline and mounting pattern owner-defined</x:v>
      </x:c>
      <x:c r="C41" s="28" t="n">
        <x:v>1</x:v>
      </x:c>
      <x:c r="D41" s="28" t="n">
        <x:v>0</x:v>
      </x:c>
      <x:c r="E41" s="28" t="n">
        <x:v>0</x:v>
      </x:c>
      <x:c r="F41" s="16" t="n">
        <x:f>IF(ISNUMBER(C41),MAX(0,C41-D41-E41),"UNKNOWN")</x:f>
        <x:v>1</x:v>
      </x:c>
      <x:c r="G41" s="29"/>
      <x:c r="H41" s="12" t="str">
        <x:v>UNPRICED</x:v>
      </x:c>
      <x:c r="I41" s="24" t="str">
        <x:f>IF(K41="ENCLOSURE QUOTE","IN QUOTE",IF(ISNUMBER(F41),IF(F41=0,0,IF(ISNUMBER(G41),ROUND(F41*G41,2),"UNKNOWN")),"UNKNOWN"))</x:f>
        <x:v>UNKNOWN</x:v>
      </x:c>
      <x:c r="J41" s="12" t="str">
        <x:v>DESIGN HOLD</x:v>
      </x:c>
      <x:c r="K41" s="12" t="str">
        <x:v>PART</x:v>
      </x:c>
      <x:c r="L41" s="12" t="str">
        <x:v>Proposed MAIN / control board references only. Actual board count, dimensions, holes and sponsor quote are open.</x:v>
      </x:c>
      <x:c r="M41" s="12" t="str"/>
      <x:c r="N41" s="12" t="str"/>
      <x:c r="O41" s="26" t="d">
        <x:v>2026-10-15T00:00:00.000Z</x:v>
      </x:c>
      <x:c r="P41" s="20"/>
      <x:c r="Q41" s="12" t="str">
        <x:v>PCB-02</x:v>
      </x:c>
    </x:row>
    <x:row r="42" ht="76" customHeight="1">
      <x:c r="A42" s="13" t="str">
        <x:v>PCB-03</x:v>
      </x:c>
      <x:c r="B42" s="13" t="str">
        <x:v>Custom R6.1 KEY-R; outline and mounting pattern owner-defined</x:v>
      </x:c>
      <x:c r="C42" s="28" t="n">
        <x:v>1</x:v>
      </x:c>
      <x:c r="D42" s="28" t="n">
        <x:v>0</x:v>
      </x:c>
      <x:c r="E42" s="28" t="n">
        <x:v>0</x:v>
      </x:c>
      <x:c r="F42" s="17" t="n">
        <x:f>IF(ISNUMBER(C42),MAX(0,C42-D42-E42),"UNKNOWN")</x:f>
        <x:v>1</x:v>
      </x:c>
      <x:c r="G42" s="29"/>
      <x:c r="H42" s="13" t="str">
        <x:v>UNPRICED</x:v>
      </x:c>
      <x:c r="I42" s="25" t="str">
        <x:f>IF(K42="ENCLOSURE QUOTE","IN QUOTE",IF(ISNUMBER(F42),IF(F42=0,0,IF(ISNUMBER(G42),ROUND(F42*G42,2),"UNKNOWN")),"UNKNOWN"))</x:f>
        <x:v>UNKNOWN</x:v>
      </x:c>
      <x:c r="J42" s="13" t="str">
        <x:v>DESIGN HOLD</x:v>
      </x:c>
      <x:c r="K42" s="13" t="str">
        <x:v>PART</x:v>
      </x:c>
      <x:c r="L42" s="13" t="str">
        <x:v>Proposed MAIN / control board references only. Actual board count, dimensions, holes and sponsor quote are open.</x:v>
      </x:c>
      <x:c r="M42" s="13" t="str"/>
      <x:c r="N42" s="13" t="str"/>
      <x:c r="O42" s="27" t="d">
        <x:v>2026-10-15T00:00:00.000Z</x:v>
      </x:c>
      <x:c r="P42" s="21"/>
      <x:c r="Q42" s="13" t="str">
        <x:v>PCB-03</x:v>
      </x:c>
    </x:row>
    <x:row r="43" ht="76" customHeight="1">
      <x:c r="A43" s="12" t="str">
        <x:v>PCB-06</x:v>
      </x:c>
      <x:c r="B43" s="12" t="str">
        <x:v>TBD stranded copper wire, gauge and length by net</x:v>
      </x:c>
      <x:c r="C43" s="28"/>
      <x:c r="D43" s="28" t="n">
        <x:v>0</x:v>
      </x:c>
      <x:c r="E43" s="28" t="n">
        <x:v>0</x:v>
      </x:c>
      <x:c r="F43" s="16" t="str">
        <x:f>IF(ISNUMBER(C43),MAX(0,C43-D43-E43),"UNKNOWN")</x:f>
        <x:v>UNKNOWN</x:v>
      </x:c>
      <x:c r="G43" s="29"/>
      <x:c r="H43" s="12" t="str">
        <x:v>UNPRICED</x:v>
      </x:c>
      <x:c r="I43" s="24" t="str">
        <x:f>IF(K43="ENCLOSURE QUOTE","IN QUOTE",IF(ISNUMBER(F43),IF(F43=0,0,IF(ISNUMBER(G43),ROUND(F43*G43,2),"UNKNOWN")),"UNKNOWN"))</x:f>
        <x:v>UNKNOWN</x:v>
      </x:c>
      <x:c r="J43" s="12" t="str">
        <x:v>DESIGN HOLD</x:v>
      </x:c>
      <x:c r="K43" s="12" t="str">
        <x:v>PART</x:v>
      </x:c>
      <x:c r="L43" s="12" t="str">
        <x:v>Preliminary copper wire allowance: 24 AWG signals 8 m aggregate, 22 AWG power/returns 2 m aggregate, each includes about 25% service allowance. Harness route lengths are estimates, not measurements. Long camera cables excluded. Exact insulation OD must match contacts; no CCA.</x:v>
      </x:c>
      <x:c r="M43" s="12" t="str"/>
      <x:c r="N43" s="12" t="str"/>
      <x:c r="O43" s="26" t="d">
        <x:v>2026-10-15T00:00:00.000Z</x:v>
      </x:c>
      <x:c r="P43" s="20"/>
      <x:c r="Q43" s="12" t="str">
        <x:v>PCB-06</x:v>
      </x:c>
    </x:row>
    <x:row r="44" ht="92" customHeight="1">
      <x:c r="A44" s="13" t="str">
        <x:v>PCB-07</x:v>
      </x:c>
      <x:c r="B44" s="13" t="str">
        <x:v>TBD M3 insulating / metal standoffs by assembly</x:v>
      </x:c>
      <x:c r="C44" s="28"/>
      <x:c r="D44" s="28" t="n">
        <x:v>0</x:v>
      </x:c>
      <x:c r="E44" s="28" t="n">
        <x:v>0</x:v>
      </x:c>
      <x:c r="F44" s="17" t="str">
        <x:f>IF(ISNUMBER(C44),MAX(0,C44-D44-E44),"UNKNOWN")</x:f>
        <x:v>UNKNOWN</x:v>
      </x:c>
      <x:c r="G44" s="29"/>
      <x:c r="H44" s="13" t="str">
        <x:v>UNPRICED</x:v>
      </x:c>
      <x:c r="I44" s="25" t="str">
        <x:f>IF(K44="ENCLOSURE QUOTE","IN QUOTE",IF(ISNUMBER(F44),IF(F44=0,0,IF(ISNUMBER(G44),ROUND(F44*G44,2),"UNKNOWN")),"UNKNOWN"))</x:f>
        <x:v>IN QUOTE</x:v>
      </x:c>
      <x:c r="J44" s="13" t="str">
        <x:v>DESIGN HOLD</x:v>
      </x:c>
      <x:c r="K44" s="13" t="str">
        <x:v>ENCLOSURE QUOTE</x:v>
      </x:c>
      <x:c r="L44" s="13" t="str">
        <x:v>Board support count and heights are unknown until outlines and distinct APEM/B32/encoder planes are defined. Use stock M3-compatible captive hardware where suitable; do not assume12 standoffs or reuse obsolete B3W heights. Internal support hardware belongs to the enclosure quote, not duplicated in electronics.</x:v>
      </x:c>
      <x:c r="M44" s="13" t="str"/>
      <x:c r="N44" s="13" t="str"/>
      <x:c r="O44" s="27" t="d">
        <x:v>2026-10-15T00:00:00.000Z</x:v>
      </x:c>
      <x:c r="P44" s="21"/>
      <x:c r="Q44" s="13" t="str">
        <x:v>PCB-07</x:v>
      </x:c>
    </x:row>
    <x:row r="45" ht="76" customHeight="1">
      <x:c r="A45" s="12" t="str">
        <x:v>PCB-08</x:v>
      </x:c>
      <x:c r="B45" s="12" t="str">
        <x:v>1207, one 3-pack</x:v>
      </x:c>
      <x:c r="C45" s="28" t="n">
        <x:v>1</x:v>
      </x:c>
      <x:c r="D45" s="28" t="n">
        <x:v>0</x:v>
      </x:c>
      <x:c r="E45" s="28" t="n">
        <x:v>0</x:v>
      </x:c>
      <x:c r="F45" s="16" t="n">
        <x:f>IF(ISNUMBER(C45),MAX(0,C45-D45-E45),"UNKNOWN")</x:f>
        <x:v>1</x:v>
      </x:c>
      <x:c r="G45" s="29"/>
      <x:c r="H45" s="12" t="str">
        <x:v>UNPRICED</x:v>
      </x:c>
      <x:c r="I45" s="24" t="str">
        <x:f>IF(K45="ENCLOSURE QUOTE","IN QUOTE",IF(ISNUMBER(F45),IF(F45=0,0,IF(ISNUMBER(G45),ROUND(F45*G45,2),"UNKNOWN")),"UNKNOWN"))</x:f>
        <x:v>UNKNOWN</x:v>
      </x:c>
      <x:c r="J45" s="12" t="str">
        <x:v>DESIGN HOLD</x:v>
      </x:c>
      <x:c r="K45" s="12" t="str">
        <x:v>PART</x:v>
      </x:c>
      <x:c r="L45" s="12" t="str">
        <x:v>R5 quantity two meant two adapter pieces, but Adafruit1207 is a three-pack. Correct to one pack if borrowing fails, giving two used plus one spare. 16-pin SOIC and header compatibility still check; not a final-system installed part.</x:v>
      </x:c>
      <x:c r="M45" s="12" t="str"/>
      <x:c r="N45" s="12" t="str">
        <x:v>https://www.adafruit.com/product/1207</x:v>
      </x:c>
      <x:c r="O45" s="26" t="d">
        <x:v>2026-10-15T00:00:00.000Z</x:v>
      </x:c>
      <x:c r="P45" s="20"/>
      <x:c r="Q45" s="12" t="str">
        <x:v>PCB-08</x:v>
      </x:c>
    </x:row>
    <x:row r="46" ht="76" customHeight="1">
      <x:c r="A46" s="13" t="str">
        <x:v>PCB-09</x:v>
      </x:c>
      <x:c r="B46" s="13" t="str">
        <x:v>Inventory check first</x:v>
      </x:c>
      <x:c r="C46" s="28" t="n">
        <x:v>1</x:v>
      </x:c>
      <x:c r="D46" s="28" t="n">
        <x:v>0</x:v>
      </x:c>
      <x:c r="E46" s="28" t="n">
        <x:v>0</x:v>
      </x:c>
      <x:c r="F46" s="17" t="n">
        <x:f>IF(ISNUMBER(C46),MAX(0,C46-D46-E46),"UNKNOWN")</x:f>
        <x:v>1</x:v>
      </x:c>
      <x:c r="G46" s="29"/>
      <x:c r="H46" s="13" t="str">
        <x:v>UNPRICED</x:v>
      </x:c>
      <x:c r="I46" s="25" t="str">
        <x:f>IF(K46="ENCLOSURE QUOTE","IN QUOTE",IF(ISNUMBER(F46),IF(F46=0,0,IF(ISNUMBER(G46),ROUND(F46*G46,2),"UNKNOWN")),"UNKNOWN"))</x:f>
        <x:v>UNKNOWN</x:v>
      </x:c>
      <x:c r="J46" s="13" t="str">
        <x:v>DESIGN HOLD</x:v>
      </x:c>
      <x:c r="K46" s="13" t="str">
        <x:v>PART</x:v>
      </x:c>
      <x:c r="L46" s="13" t="str">
        <x:v>Check owned breadboard and jumpers before buying. Needed for low-voltage scan/ADC proof, not installed. Do not buy duplicate tools.</x:v>
      </x:c>
      <x:c r="M46" s="13" t="str"/>
      <x:c r="N46" s="13" t="str"/>
      <x:c r="O46" s="27" t="d">
        <x:v>2026-10-15T00:00:00.000Z</x:v>
      </x:c>
      <x:c r="P46" s="21"/>
      <x:c r="Q46" s="13" t="str">
        <x:v>PCB-09</x:v>
      </x:c>
    </x:row>
    <x:row r="47" ht="108" customHeight="1">
      <x:c r="A47" s="12" t="str">
        <x:v>CASE-01</x:v>
      </x:c>
      <x:c r="B47" s="12" t="str">
        <x:v>Custom 5052-H32 approximately 1.63 mm assembly</x:v>
      </x:c>
      <x:c r="C47" s="28" t="n">
        <x:v>1</x:v>
      </x:c>
      <x:c r="D47" s="28" t="n">
        <x:v>0</x:v>
      </x:c>
      <x:c r="E47" s="28" t="n">
        <x:v>0</x:v>
      </x:c>
      <x:c r="F47" s="16" t="n">
        <x:f>IF(ISNUMBER(C47),MAX(0,C47-D47-E47),"UNKNOWN")</x:f>
        <x:v>1</x:v>
      </x:c>
      <x:c r="G47" s="29"/>
      <x:c r="H47" s="12" t="str">
        <x:v>UNPRICED</x:v>
      </x:c>
      <x:c r="I47" s="24" t="str">
        <x:f>IF(K47="ENCLOSURE QUOTE","IN QUOTE",IF(ISNUMBER(F47),IF(F47=0,0,IF(ISNUMBER(G47),ROUND(F47*G47,2),"UNKNOWN")),"UNKNOWN"))</x:f>
        <x:v>IN QUOTE</x:v>
      </x:c>
      <x:c r="J47" s="12" t="str">
        <x:v>DESIGN HOLD</x:v>
      </x:c>
      <x:c r="K47" s="12" t="str">
        <x:v>ENCLOSURE QUOTE</x:v>
      </x:c>
      <x:c r="L47" s="12" t="str">
        <x:v>Protocase C$500 in-kind includes shipping, subject to quote; no finished enclosure yet. Stock 5052-H32 about1.63 mm is a proposal. Set all cutouts from actual controls and coating clearances. No fabrication approval. Protocase credit is C$500 for manufacturing, finish, graphics and enclosure hardware, with shipping included. Final quote, tax treatment and engineering review remain required. This credit does not pay for electronics.</x:v>
      </x:c>
      <x:c r="M47" s="12" t="str"/>
      <x:c r="N47" s="12" t="str">
        <x:v>https://www.protocase.com/resources/bend-radii/</x:v>
      </x:c>
      <x:c r="O47" s="26" t="d">
        <x:v>2026-10-15T00:00:00.000Z</x:v>
      </x:c>
      <x:c r="P47" s="20"/>
      <x:c r="Q47" s="12" t="str">
        <x:v>CASE-01</x:v>
      </x:c>
    </x:row>
    <x:row r="48" ht="92" customHeight="1">
      <x:c r="A48" s="13" t="str">
        <x:v>CASE-02</x:v>
      </x:c>
      <x:c r="B48" s="13" t="str">
        <x:v>Stock powder coat and contrasting legends</x:v>
      </x:c>
      <x:c r="C48" s="28" t="n">
        <x:v>1</x:v>
      </x:c>
      <x:c r="D48" s="28" t="n">
        <x:v>0</x:v>
      </x:c>
      <x:c r="E48" s="28" t="n">
        <x:v>0</x:v>
      </x:c>
      <x:c r="F48" s="17" t="n">
        <x:f>IF(ISNUMBER(C48),MAX(0,C48-D48-E48),"UNKNOWN")</x:f>
        <x:v>1</x:v>
      </x:c>
      <x:c r="G48" s="29"/>
      <x:c r="H48" s="13" t="str">
        <x:v>UNPRICED</x:v>
      </x:c>
      <x:c r="I48" s="25" t="str">
        <x:f>IF(K48="ENCLOSURE QUOTE","IN QUOTE",IF(ISNUMBER(F48),IF(F48=0,0,IF(ISNUMBER(G48),ROUND(F48*G48,2),"UNKNOWN")),"UNKNOWN"))</x:f>
        <x:v>IN QUOTE</x:v>
      </x:c>
      <x:c r="J48" s="13" t="str">
        <x:v>DESIGN HOLD</x:v>
      </x:c>
      <x:c r="K48" s="13" t="str">
        <x:v>ENCLOSURE QUOTE</x:v>
      </x:c>
      <x:c r="L48" s="13" t="str">
        <x:v>Finishing and graphics are in Protocase support scope, subject to quote/credit. Do not subtract sponsorship twice. Freeze legends only after controls and supported functions reviewed. Include stock finish and graphics in the same enclosure quote. Avoid double counting. The user chooses the final exterior and control placement.</x:v>
      </x:c>
      <x:c r="M48" s="13" t="str"/>
      <x:c r="N48" s="13" t="str"/>
      <x:c r="O48" s="27" t="d">
        <x:v>2026-10-15T00:00:00.000Z</x:v>
      </x:c>
      <x:c r="P48" s="21"/>
      <x:c r="Q48" s="13" t="str">
        <x:v>CASE-02</x:v>
      </x:c>
    </x:row>
    <x:row r="49" ht="76" customHeight="1">
      <x:c r="A49" s="12" t="str">
        <x:v>CASE-03</x:v>
      </x:c>
      <x:c r="B49" s="12" t="str">
        <x:v>TBD screw-mounted or proven adhesive rubber feet</x:v>
      </x:c>
      <x:c r="C49" s="28" t="n">
        <x:v>4</x:v>
      </x:c>
      <x:c r="D49" s="28" t="n">
        <x:v>0</x:v>
      </x:c>
      <x:c r="E49" s="28" t="n">
        <x:v>0</x:v>
      </x:c>
      <x:c r="F49" s="16" t="n">
        <x:f>IF(ISNUMBER(C49),MAX(0,C49-D49-E49),"UNKNOWN")</x:f>
        <x:v>4</x:v>
      </x:c>
      <x:c r="G49" s="29"/>
      <x:c r="H49" s="12" t="str">
        <x:v>UNPRICED</x:v>
      </x:c>
      <x:c r="I49" s="24" t="str">
        <x:f>IF(K49="ENCLOSURE QUOTE","IN QUOTE",IF(ISNUMBER(F49),IF(F49=0,0,IF(ISNUMBER(G49),ROUND(F49*G49,2),"UNKNOWN")),"UNKNOWN"))</x:f>
        <x:v>IN QUOTE</x:v>
      </x:c>
      <x:c r="J49" s="12" t="str">
        <x:v>DESIGN HOLD</x:v>
      </x:c>
      <x:c r="K49" s="12" t="str">
        <x:v>ENCLOSURE QUOTE</x:v>
      </x:c>
      <x:c r="L49" s="12" t="str">
        <x:v>Four feet planned. Exact screw/adhesive choice and base clearance unselected; obtain profile/load data before drilling base.</x:v>
      </x:c>
      <x:c r="M49" s="12" t="str"/>
      <x:c r="N49" s="12" t="str"/>
      <x:c r="O49" s="26" t="d">
        <x:v>2026-10-15T00:00:00.000Z</x:v>
      </x:c>
      <x:c r="P49" s="20"/>
      <x:c r="Q49" s="12" t="str">
        <x:v>CASE-03</x:v>
      </x:c>
    </x:row>
    <x:row r="50" ht="76" customHeight="1">
      <x:c r="A50" s="13" t="str">
        <x:v>CASE-04</x:v>
      </x:c>
      <x:c r="B50" s="13" t="str">
        <x:v>TBD verified bezel / guides / brackets</x:v>
      </x:c>
      <x:c r="C50" s="28"/>
      <x:c r="D50" s="28" t="n">
        <x:v>0</x:v>
      </x:c>
      <x:c r="E50" s="28" t="n">
        <x:v>0</x:v>
      </x:c>
      <x:c r="F50" s="17" t="str">
        <x:f>IF(ISNUMBER(C50),MAX(0,C50-D50-E50),"UNKNOWN")</x:f>
        <x:v>UNKNOWN</x:v>
      </x:c>
      <x:c r="G50" s="29"/>
      <x:c r="H50" s="13" t="str">
        <x:v>UNPRICED</x:v>
      </x:c>
      <x:c r="I50" s="25" t="str">
        <x:f>IF(K50="ENCLOSURE QUOTE","IN QUOTE",IF(ISNUMBER(F50),IF(F50=0,0,IF(ISNUMBER(G50),ROUND(F50*G50,2),"UNKNOWN")),"UNKNOWN"))</x:f>
        <x:v>IN QUOTE</x:v>
      </x:c>
      <x:c r="J50" s="13" t="str">
        <x:v>DESIGN HOLD</x:v>
      </x:c>
      <x:c r="K50" s="13" t="str">
        <x:v>ENCLOSURE QUOTE</x:v>
      </x:c>
      <x:c r="L50" s="13" t="str">
        <x:v>Use owned Bambu A1 Mini for guides/bezel/supports. Printer ownership does not prove free filament or validated optical performance. CAD volume and actual stock determine material purchase.</x:v>
      </x:c>
      <x:c r="M50" s="13" t="str"/>
      <x:c r="N50" s="13" t="str"/>
      <x:c r="O50" s="27" t="d">
        <x:v>2026-10-15T00:00:00.000Z</x:v>
      </x:c>
      <x:c r="P50" s="21"/>
      <x:c r="Q50" s="13" t="str">
        <x:v>CASE-04</x:v>
      </x:c>
    </x:row>
    <x:row r="51" ht="76" customHeight="1">
      <x:c r="A51" s="12" t="str">
        <x:v>CASE-05</x:v>
      </x:c>
      <x:c r="B51" s="12" t="str">
        <x:v>TBD joystick backing plate if deflection requires it</x:v>
      </x:c>
      <x:c r="C51" s="28"/>
      <x:c r="D51" s="28" t="n">
        <x:v>0</x:v>
      </x:c>
      <x:c r="E51" s="28" t="n">
        <x:v>0</x:v>
      </x:c>
      <x:c r="F51" s="16" t="str">
        <x:f>IF(ISNUMBER(C51),MAX(0,C51-D51-E51),"UNKNOWN")</x:f>
        <x:v>UNKNOWN</x:v>
      </x:c>
      <x:c r="G51" s="29"/>
      <x:c r="H51" s="12" t="str">
        <x:v>UNPRICED</x:v>
      </x:c>
      <x:c r="I51" s="24" t="str">
        <x:f>IF(K51="ENCLOSURE QUOTE","IN QUOTE",IF(ISNUMBER(F51),IF(F51=0,0,IF(ISNUMBER(G51),ROUND(F51*G51,2),"UNKNOWN")),"UNKNOWN"))</x:f>
        <x:v>IN QUOTE</x:v>
      </x:c>
      <x:c r="J51" s="12" t="str">
        <x:v>DESIGN HOLD</x:v>
      </x:c>
      <x:c r="K51" s="12" t="str">
        <x:v>ENCLOSURE QUOTE</x:v>
      </x:c>
      <x:c r="L51" s="12" t="str">
        <x:v>Conditional joystick reinforcement, quote with main case. Actual panel deflection test required; no separate purchase until needed.</x:v>
      </x:c>
      <x:c r="M51" s="12" t="str"/>
      <x:c r="N51" s="12" t="str"/>
      <x:c r="O51" s="26" t="d">
        <x:v>2026-10-15T00:00:00.000Z</x:v>
      </x:c>
      <x:c r="P51" s="20"/>
      <x:c r="Q51" s="12" t="str">
        <x:v>CASE-05</x:v>
      </x:c>
    </x:row>
    <x:row r="52" ht="76" customHeight="1">
      <x:c r="A52" s="13" t="str">
        <x:v>CASE-06</x:v>
      </x:c>
      <x:c r="B52" s="13" t="str">
        <x:v>TBD screws, captive nuts / threaded inserts, washers</x:v>
      </x:c>
      <x:c r="C52" s="28"/>
      <x:c r="D52" s="28" t="n">
        <x:v>0</x:v>
      </x:c>
      <x:c r="E52" s="28" t="n">
        <x:v>0</x:v>
      </x:c>
      <x:c r="F52" s="17" t="str">
        <x:f>IF(ISNUMBER(C52),MAX(0,C52-D52-E52),"UNKNOWN")</x:f>
        <x:v>UNKNOWN</x:v>
      </x:c>
      <x:c r="G52" s="29"/>
      <x:c r="H52" s="13" t="str">
        <x:v>UNPRICED</x:v>
      </x:c>
      <x:c r="I52" s="25" t="str">
        <x:f>IF(K52="ENCLOSURE QUOTE","IN QUOTE",IF(ISNUMBER(F52),IF(F52=0,0,IF(ISNUMBER(G52),ROUND(F52*G52,2),"UNKNOWN")),"UNKNOWN"))</x:f>
        <x:v>IN QUOTE</x:v>
      </x:c>
      <x:c r="J52" s="13" t="str">
        <x:v>DESIGN HOLD</x:v>
      </x:c>
      <x:c r="K52" s="13" t="str">
        <x:v>ENCLOSURE QUOTE</x:v>
      </x:c>
      <x:c r="L52" s="13" t="str">
        <x:v>Final CAD-derived hardware schedule pending. Count board screws, cover screws, joystick fasteners, standoffs, earth/chassis hardware if specified. Encoder nuts/washers already included. Tool access and thread engagement must be checked.</x:v>
      </x:c>
      <x:c r="M52" s="13" t="str"/>
      <x:c r="N52" s="13" t="str"/>
      <x:c r="O52" s="27" t="d">
        <x:v>2026-10-15T00:00:00.000Z</x:v>
      </x:c>
      <x:c r="P52" s="21"/>
      <x:c r="Q52" s="13" t="str">
        <x:v>CASE-06</x:v>
      </x:c>
    </x:row>
    <x:row r="53" ht="76" customHeight="1">
      <x:c r="A53" s="12" t="str">
        <x:v>TEST-01</x:v>
      </x:c>
      <x:c r="B53" s="12" t="str">
        <x:v>TBD known-good full-duplex USB-to-RS422 adapter</x:v>
      </x:c>
      <x:c r="C53" s="28" t="n">
        <x:v>1</x:v>
      </x:c>
      <x:c r="D53" s="28" t="n">
        <x:v>0</x:v>
      </x:c>
      <x:c r="E53" s="28" t="n">
        <x:v>0</x:v>
      </x:c>
      <x:c r="F53" s="16" t="n">
        <x:f>IF(ISNUMBER(C53),MAX(0,C53-D53-E53),"UNKNOWN")</x:f>
        <x:v>1</x:v>
      </x:c>
      <x:c r="G53" s="29"/>
      <x:c r="H53" s="12" t="str">
        <x:v>UNPRICED</x:v>
      </x:c>
      <x:c r="I53" s="24" t="str">
        <x:f>IF(K53="ENCLOSURE QUOTE","IN QUOTE",IF(ISNUMBER(F53),IF(F53=0,0,IF(ISNUMBER(G53),ROUND(F53*G53,2),"UNKNOWN")),"UNKNOWN"))</x:f>
        <x:v>UNKNOWN</x:v>
      </x:c>
      <x:c r="J53" s="12" t="str">
        <x:v>BORROW / QUALIFY FIRST</x:v>
      </x:c>
      <x:c r="K53" s="12" t="str">
        <x:v>PART</x:v>
      </x:c>
      <x:c r="L53" s="12" t="str">
        <x:v>Borrow a known-good four-wire full-duplex USB-to-RS422 interface through Keith/church. DTECH RS232 converter alone is not USB, and two-wire USB-RS485 is wrong. No adapter purchase authorized without exact verified model/driver/pinout.</x:v>
      </x:c>
      <x:c r="M53" s="12" t="str"/>
      <x:c r="N53" s="12" t="str"/>
      <x:c r="O53" s="26" t="d">
        <x:v>2026-10-15T00:00:00.000Z</x:v>
      </x:c>
      <x:c r="P53" s="20"/>
      <x:c r="Q53" s="12" t="str">
        <x:v>TEST-01</x:v>
      </x:c>
    </x:row>
    <x:row r="54" ht="76" customHeight="1">
      <x:c r="A54" s="13" t="str">
        <x:v>TEST-02</x:v>
      </x:c>
      <x:c r="B54" s="13" t="str">
        <x:v>TBD 8P8C bench breakout without magnetics</x:v>
      </x:c>
      <x:c r="C54" s="28" t="n">
        <x:v>1</x:v>
      </x:c>
      <x:c r="D54" s="28" t="n">
        <x:v>0</x:v>
      </x:c>
      <x:c r="E54" s="28" t="n">
        <x:v>0</x:v>
      </x:c>
      <x:c r="F54" s="17" t="n">
        <x:f>IF(ISNUMBER(C54),MAX(0,C54-D54-E54),"UNKNOWN")</x:f>
        <x:v>1</x:v>
      </x:c>
      <x:c r="G54" s="29"/>
      <x:c r="H54" s="13" t="str">
        <x:v>UNPRICED</x:v>
      </x:c>
      <x:c r="I54" s="25" t="str">
        <x:f>IF(K54="ENCLOSURE QUOTE","IN QUOTE",IF(ISNUMBER(F54),IF(F54=0,0,IF(ISNUMBER(G54),ROUND(F54*G54,2),"UNKNOWN")),"UNKNOWN"))</x:f>
        <x:v>UNKNOWN</x:v>
      </x:c>
      <x:c r="J54" s="13" t="str">
        <x:v>BORROW / QUALIFY FIRST</x:v>
      </x:c>
      <x:c r="K54" s="13" t="str">
        <x:v>PART</x:v>
      </x:c>
      <x:c r="L54" s="13" t="str">
        <x:v>Borrow or build an all-eight-contact non-magnetic RJ45 breakout. Confirm contact numbering by continuity before live tests; no magjack. Not installed inventory.</x:v>
      </x:c>
      <x:c r="M54" s="13" t="str"/>
      <x:c r="N54" s="13" t="str"/>
      <x:c r="O54" s="27" t="d">
        <x:v>2026-10-15T00:00:00.000Z</x:v>
      </x:c>
      <x:c r="P54" s="21"/>
      <x:c r="Q54" s="13" t="str">
        <x:v>TEST-02</x:v>
      </x:c>
    </x:row>
    <x:row r="55" ht="76" customHeight="1">
      <x:c r="A55" s="12" t="str">
        <x:v>TEST-03</x:v>
      </x:c>
      <x:c r="B55" s="12" t="str">
        <x:v>Button, joystick, encoder, display and rear connector fit coupons</x:v>
      </x:c>
      <x:c r="C55" s="28" t="n">
        <x:v>1</x:v>
      </x:c>
      <x:c r="D55" s="28" t="n">
        <x:v>0</x:v>
      </x:c>
      <x:c r="E55" s="28" t="n">
        <x:v>0</x:v>
      </x:c>
      <x:c r="F55" s="16" t="n">
        <x:f>IF(ISNUMBER(C55),MAX(0,C55-D55-E55),"UNKNOWN")</x:f>
        <x:v>1</x:v>
      </x:c>
      <x:c r="G55" s="29"/>
      <x:c r="H55" s="12" t="str">
        <x:v>UNPRICED</x:v>
      </x:c>
      <x:c r="I55" s="24" t="str">
        <x:f>IF(K55="ENCLOSURE QUOTE","IN QUOTE",IF(ISNUMBER(F55),IF(F55=0,0,IF(ISNUMBER(G55),ROUND(F55*G55,2),"UNKNOWN")),"UNKNOWN"))</x:f>
        <x:v>UNKNOWN</x:v>
      </x:c>
      <x:c r="J55" s="12" t="str">
        <x:v>BORROW / QUALIFY FIRST</x:v>
      </x:c>
      <x:c r="K55" s="12" t="str">
        <x:v>PART</x:v>
      </x:c>
      <x:c r="L55" s="12" t="str">
        <x:v>Print one combined switch/cap/lightwell coupon and one encoder stack coupon before final CAD. Follow with joystick/display/rear fit. Printing a hole is not proof of finished powder-coat clearance.</x:v>
      </x:c>
      <x:c r="M55" s="12" t="str"/>
      <x:c r="N55" s="12" t="str"/>
      <x:c r="O55" s="26" t="d">
        <x:v>2026-10-15T00:00:00.000Z</x:v>
      </x:c>
      <x:c r="P55" s="20"/>
      <x:c r="Q55" s="12" t="str">
        <x:v>TEST-03</x:v>
      </x:c>
    </x:row>
    <x:row r="56" ht="76" customHeight="1">
      <x:c r="A56" s="13" t="str">
        <x:v>IN-08</x:v>
      </x:c>
      <x:c r="B56" s="13" t="str">
        <x:v>SN74HC14N</x:v>
      </x:c>
      <x:c r="C56" s="28" t="n">
        <x:v>2</x:v>
      </x:c>
      <x:c r="D56" s="28" t="n">
        <x:v>0</x:v>
      </x:c>
      <x:c r="E56" s="28" t="n">
        <x:v>0</x:v>
      </x:c>
      <x:c r="F56" s="17" t="n">
        <x:f>IF(ISNUMBER(C56),MAX(0,C56-D56-E56),"UNKNOWN")</x:f>
        <x:v>2</x:v>
      </x:c>
      <x:c r="G56" s="29"/>
      <x:c r="H56" s="13" t="str">
        <x:v>UNPRICED</x:v>
      </x:c>
      <x:c r="I56" s="25" t="str">
        <x:f>IF(K56="ENCLOSURE QUOTE","IN QUOTE",IF(ISNUMBER(F56),IF(F56=0,0,IF(ISNUMBER(G56),ROUND(F56*G56,2),"UNKNOWN")),"UNKNOWN"))</x:f>
        <x:v>UNKNOWN</x:v>
      </x:c>
      <x:c r="J56" s="13" t="str">
        <x:v>DESIGN HOLD</x:v>
      </x:c>
      <x:c r="K56" s="13" t="str">
        <x:v>PART</x:v>
      </x:c>
      <x:c r="L56" s="13" t="str">
        <x:v>Two SN74HC14N PDIP14 packages condition12 encoder phases at3.3V. Both phases invert together; do not substitute HCT at3.3V. Current stock/price is not rechecked; circuit and rapid-rotation performance remain untested.</x:v>
      </x:c>
      <x:c r="M56" s="13" t="str"/>
      <x:c r="N56" s="13" t="str">
        <x:v>https://www.digikey.ca/en/products/detail/texas-instruments/SN74HC14N/277223</x:v>
      </x:c>
      <x:c r="O56" s="27" t="d">
        <x:v>2026-10-15T00:00:00.000Z</x:v>
      </x:c>
      <x:c r="P56" s="21" t="n">
        <x:v>1.84</x:v>
      </x:c>
      <x:c r="Q56" s="13" t="str">
        <x:v>IN-08</x:v>
      </x:c>
    </x:row>
    <x:row r="57" ht="76" customHeight="1">
      <x:c r="A57" s="12" t="str">
        <x:v>IN-11</x:v>
      </x:c>
      <x:c r="B57" s="12" t="str">
        <x:v>MFR-25FBF52-100K</x:v>
      </x:c>
      <x:c r="C57" s="28" t="n">
        <x:v>27</x:v>
      </x:c>
      <x:c r="D57" s="28" t="n">
        <x:v>0</x:v>
      </x:c>
      <x:c r="E57" s="28" t="n">
        <x:v>0</x:v>
      </x:c>
      <x:c r="F57" s="16" t="n">
        <x:f>IF(ISNUMBER(C57),MAX(0,C57-D57-E57),"UNKNOWN")</x:f>
        <x:v>27</x:v>
      </x:c>
      <x:c r="G57" s="29"/>
      <x:c r="H57" s="12" t="str">
        <x:v>UNPRICED</x:v>
      </x:c>
      <x:c r="I57" s="24" t="str">
        <x:f>IF(K57="ENCLOSURE QUOTE","IN QUOTE",IF(ISNUMBER(F57),IF(F57=0,0,IF(ISNUMBER(G57),ROUND(F57*G57,2),"UNKNOWN")),"UNKNOWN"))</x:f>
        <x:v>UNKNOWN</x:v>
      </x:c>
      <x:c r="J57" s="12" t="str">
        <x:v>DESIGN HOLD</x:v>
      </x:c>
      <x:c r="K57" s="12" t="str">
        <x:v>PART</x:v>
      </x:c>
      <x:c r="L57" s="12" t="str">
        <x:v>27x100k gate pull-downs; each MOSFET gate has defined off state.</x:v>
      </x:c>
      <x:c r="M57" s="12" t="str"/>
      <x:c r="N57" s="12" t="str">
        <x:v>https://www.digikey.ca/en/products/detail/yageo/MFR-25FBF52-100K/13473</x:v>
      </x:c>
      <x:c r="O57" s="26" t="d">
        <x:v>2026-10-15T00:00:00.000Z</x:v>
      </x:c>
      <x:c r="P57" s="20" t="n">
        <x:v>0.063</x:v>
      </x:c>
      <x:c r="Q57" s="12" t="str">
        <x:v>IN-11</x:v>
      </x:c>
    </x:row>
    <x:row r="58" ht="76" customHeight="1">
      <x:c r="A58" s="13" t="str">
        <x:v>PWR-10</x:v>
      </x:c>
      <x:c r="B58" s="13" t="str">
        <x:v>TBD 1 µF X7R ≥16 V, effective capacitance ≥1 µF</x:v>
      </x:c>
      <x:c r="C58" s="28" t="n">
        <x:v>2</x:v>
      </x:c>
      <x:c r="D58" s="28" t="n">
        <x:v>0</x:v>
      </x:c>
      <x:c r="E58" s="28" t="n">
        <x:v>0</x:v>
      </x:c>
      <x:c r="F58" s="17" t="n">
        <x:f>IF(ISNUMBER(C58),MAX(0,C58-D58-E58),"UNKNOWN")</x:f>
        <x:v>2</x:v>
      </x:c>
      <x:c r="G58" s="29"/>
      <x:c r="H58" s="13" t="str">
        <x:v>UNPRICED</x:v>
      </x:c>
      <x:c r="I58" s="25" t="str">
        <x:f>IF(K58="ENCLOSURE QUOTE","IN QUOTE",IF(ISNUMBER(F58),IF(F58=0,0,IF(ISNUMBER(G58),ROUND(F58*G58,2),"UNKNOWN")),"UNKNOWN"))</x:f>
        <x:v>UNKNOWN</x:v>
      </x:c>
      <x:c r="J58" s="13" t="str">
        <x:v>DESIGN HOLD</x:v>
      </x:c>
      <x:c r="K58" s="13" t="str">
        <x:v>PART</x:v>
      </x:c>
      <x:c r="L58" s="13" t="str">
        <x:v>MCP1700 input/output stability capacitors remain candidate-specific. Select capacitance with effective DC-bias margin and datasheet ESR compliance only after regulator decision. Not interchangeable with bulk alone.</x:v>
      </x:c>
      <x:c r="M58" s="13" t="str"/>
      <x:c r="N58" s="13" t="str">
        <x:v>https://www.microchip.com/content/dam/mchp/documents/APID/ProductDocuments/DataSheets/MCP1700-Data-Sheet-20001826F.pdf</x:v>
      </x:c>
      <x:c r="O58" s="27" t="d">
        <x:v>2026-10-15T00:00:00.000Z</x:v>
      </x:c>
      <x:c r="P58" s="21"/>
      <x:c r="Q58" s="13" t="str">
        <x:v>PWR-10</x:v>
      </x:c>
    </x:row>
    <x:row r="59" ht="76" customHeight="1">
      <x:c r="A59" s="12" t="str">
        <x:v>PWR-11</x:v>
      </x:c>
      <x:c r="B59" s="12" t="str">
        <x:v>TBD after protection topology selected</x:v>
      </x:c>
      <x:c r="C59" s="28"/>
      <x:c r="D59" s="28" t="n">
        <x:v>0</x:v>
      </x:c>
      <x:c r="E59" s="28" t="n">
        <x:v>0</x:v>
      </x:c>
      <x:c r="F59" s="16" t="str">
        <x:f>IF(ISNUMBER(C59),MAX(0,C59-D59-E59),"UNKNOWN")</x:f>
        <x:v>UNKNOWN</x:v>
      </x:c>
      <x:c r="G59" s="29"/>
      <x:c r="H59" s="12" t="str">
        <x:v>UNPRICED</x:v>
      </x:c>
      <x:c r="I59" s="24" t="str">
        <x:f>IF(K59="ENCLOSURE QUOTE","IN QUOTE",IF(ISNUMBER(F59),IF(F59=0,0,IF(ISNUMBER(G59),ROUND(F59*G59,2),"UNKNOWN")),"UNKNOWN"))</x:f>
        <x:v>UNKNOWN</x:v>
      </x:c>
      <x:c r="J59" s="12" t="str">
        <x:v>DESIGN HOLD</x:v>
      </x:c>
      <x:c r="K59" s="12" t="str">
        <x:v>PART</x:v>
      </x:c>
      <x:c r="L59" s="12" t="str">
        <x:v>Protection support passives remain explicit unknown quantity/cost. Complete circuit and per-reference-designator count before BOM freeze. LM66100 alone does not close this row.</x:v>
      </x:c>
      <x:c r="M59" s="12" t="str"/>
      <x:c r="N59" s="12" t="str">
        <x:v>https://www.ti.com/lit/ds/symlink/lm66100.pdf</x:v>
      </x:c>
      <x:c r="O59" s="26" t="d">
        <x:v>2026-10-15T00:00:00.000Z</x:v>
      </x:c>
      <x:c r="P59" s="20"/>
      <x:c r="Q59" s="12" t="str">
        <x:v>PWR-11</x:v>
      </x:c>
    </x:row>
    <x:row r="60" ht="76" customHeight="1">
      <x:c r="A60" s="13" t="str">
        <x:v>PCB-10</x:v>
      </x:c>
      <x:c r="B60" s="13" t="str">
        <x:v>TBD labelled pads for rails, grounds, UART and scan signals</x:v>
      </x:c>
      <x:c r="C60" s="28"/>
      <x:c r="D60" s="28" t="n">
        <x:v>0</x:v>
      </x:c>
      <x:c r="E60" s="28" t="n">
        <x:v>0</x:v>
      </x:c>
      <x:c r="F60" s="17" t="str">
        <x:f>IF(ISNUMBER(C60),MAX(0,C60-D60-E60),"UNKNOWN")</x:f>
        <x:v>UNKNOWN</x:v>
      </x:c>
      <x:c r="G60" s="29"/>
      <x:c r="H60" s="13" t="str">
        <x:v>UNPRICED</x:v>
      </x:c>
      <x:c r="I60" s="25" t="str">
        <x:f>IF(K60="ENCLOSURE QUOTE","IN QUOTE",IF(ISNUMBER(F60),IF(F60=0,0,IF(ISNUMBER(G60),ROUND(F60*G60,2),"UNKNOWN")),"UNKNOWN"))</x:f>
        <x:v>UNKNOWN</x:v>
      </x:c>
      <x:c r="J60" s="13" t="str">
        <x:v>DESIGN HOLD</x:v>
      </x:c>
      <x:c r="K60" s="13" t="str">
        <x:v>PART</x:v>
      </x:c>
      <x:c r="L60" s="13" t="str">
        <x:v>Use labelled copper test pads first, no arbitrary loop purchase. Minimum nets: protected5V, auxiliary3V3, MCU3V3, ground, ADC axes, driver-enable, eight UART logic lines and scan clock/load/latch/OE. Final pad count from schematic.</x:v>
      </x:c>
      <x:c r="M60" s="13" t="str"/>
      <x:c r="N60" s="13" t="str"/>
      <x:c r="O60" s="27" t="d">
        <x:v>2026-10-15T00:00:00.000Z</x:v>
      </x:c>
      <x:c r="P60" s="21"/>
      <x:c r="Q60" s="13" t="str">
        <x:v>PCB-10</x:v>
      </x:c>
    </x:row>
    <x:row r="61" ht="76" customHeight="1">
      <x:c r="A61" s="12" t="str">
        <x:v>PCB-11</x:v>
      </x:c>
      <x:c r="B61" s="12" t="str">
        <x:v>TBD cable ties, anchors, sleeving, barriers</x:v>
      </x:c>
      <x:c r="C61" s="28"/>
      <x:c r="D61" s="28" t="n">
        <x:v>0</x:v>
      </x:c>
      <x:c r="E61" s="28" t="n">
        <x:v>0</x:v>
      </x:c>
      <x:c r="F61" s="16" t="str">
        <x:f>IF(ISNUMBER(C61),MAX(0,C61-D61-E61),"UNKNOWN")</x:f>
        <x:v>UNKNOWN</x:v>
      </x:c>
      <x:c r="G61" s="29"/>
      <x:c r="H61" s="12" t="str">
        <x:v>UNPRICED</x:v>
      </x:c>
      <x:c r="I61" s="24" t="str">
        <x:f>IF(K61="ENCLOSURE QUOTE","IN QUOTE",IF(ISNUMBER(F61),IF(F61=0,0,IF(ISNUMBER(G61),ROUND(F61*G61,2),"UNKNOWN")),"UNKNOWN"))</x:f>
        <x:v>UNKNOWN</x:v>
      </x:c>
      <x:c r="J61" s="12" t="str">
        <x:v>DESIGN HOLD</x:v>
      </x:c>
      <x:c r="K61" s="12" t="str">
        <x:v>PART</x:v>
      </x:c>
      <x:c r="L61" s="12" t="str">
        <x:v>Use owned heatshrink first. Add only CAD-derived grommets, tie anchors, sleeve and labels. Put strain relief near solder tabs and metal edges, maintain service loops. Exact quantities remain open.</x:v>
      </x:c>
      <x:c r="M61" s="12" t="str"/>
      <x:c r="N61" s="12" t="str"/>
      <x:c r="O61" s="26" t="d">
        <x:v>2026-10-15T00:00:00.000Z</x:v>
      </x:c>
      <x:c r="P61" s="20"/>
      <x:c r="Q61" s="12" t="str">
        <x:v>PCB-11</x:v>
      </x:c>
    </x:row>
    <x:row r="62" ht="76" customHeight="1">
      <x:c r="A62" s="13" t="str">
        <x:v>IN-13</x:v>
      </x:c>
      <x:c r="B62" s="13" t="str">
        <x:v>C315C103K5R5TA</x:v>
      </x:c>
      <x:c r="C62" s="28" t="n">
        <x:v>12</x:v>
      </x:c>
      <x:c r="D62" s="28" t="n">
        <x:v>0</x:v>
      </x:c>
      <x:c r="E62" s="28" t="n">
        <x:v>0</x:v>
      </x:c>
      <x:c r="F62" s="17" t="n">
        <x:f>IF(ISNUMBER(C62),MAX(0,C62-D62-E62),"UNKNOWN")</x:f>
        <x:v>12</x:v>
      </x:c>
      <x:c r="G62" s="29"/>
      <x:c r="H62" s="13" t="str">
        <x:v>UNPRICED</x:v>
      </x:c>
      <x:c r="I62" s="25" t="str">
        <x:f>IF(K62="ENCLOSURE QUOTE","IN QUOTE",IF(ISNUMBER(F62),IF(F62=0,0,IF(ISNUMBER(G62),ROUND(F62*G62,2),"UNKNOWN")),"UNKNOWN"))</x:f>
        <x:v>UNKNOWN</x:v>
      </x:c>
      <x:c r="J62" s="13" t="str">
        <x:v>DESIGN HOLD</x:v>
      </x:c>
      <x:c r="K62" s="13" t="str">
        <x:v>PART</x:v>
      </x:c>
      <x:c r="L62" s="13" t="str">
        <x:v>Twelve10nF X7R encoder-filter capacitors, candidate C315C103K5R5TA with2.54mm lead pitch. Current stock/price is not rechecked. Value requires rapid-rotation and missed-edge tests.</x:v>
      </x:c>
      <x:c r="M62" s="13" t="str"/>
      <x:c r="N62" s="13" t="str">
        <x:v>https://www.digikey.ca/en/products/detail/kemet/C315C103K5R5TA/817924</x:v>
      </x:c>
      <x:c r="O62" s="27" t="d">
        <x:v>2026-10-15T00:00:00.000Z</x:v>
      </x:c>
      <x:c r="P62" s="21" t="n">
        <x:v>0.488</x:v>
      </x:c>
      <x:c r="Q62" s="13" t="str">
        <x:v>IN-13</x:v>
      </x:c>
    </x:row>
    <x:row r="63" ht="76" customHeight="1">
      <x:c r="A63" s="12" t="str">
        <x:v>PWR-12</x:v>
      </x:c>
      <x:c r="B63" s="12" t="str">
        <x:v>TBD 10 uF, &gt;=6.3 V; &gt;=5 uF effective at 3.3 V</x:v>
      </x:c>
      <x:c r="C63" s="28" t="n">
        <x:v>1</x:v>
      </x:c>
      <x:c r="D63" s="28" t="n">
        <x:v>0</x:v>
      </x:c>
      <x:c r="E63" s="28" t="n">
        <x:v>0</x:v>
      </x:c>
      <x:c r="F63" s="16" t="n">
        <x:f>IF(ISNUMBER(C63),MAX(0,C63-D63-E63),"UNKNOWN")</x:f>
        <x:v>1</x:v>
      </x:c>
      <x:c r="G63" s="29"/>
      <x:c r="H63" s="12" t="str">
        <x:v>UNPRICED</x:v>
      </x:c>
      <x:c r="I63" s="24" t="str">
        <x:f>IF(K63="ENCLOSURE QUOTE","IN QUOTE",IF(ISNUMBER(F63),IF(F63=0,0,IF(ISNUMBER(G63),ROUND(F63*G63,2),"UNKNOWN")),"UNKNOWN"))</x:f>
        <x:v>UNKNOWN</x:v>
      </x:c>
      <x:c r="J63" s="12" t="str">
        <x:v>DESIGN HOLD</x:v>
      </x:c>
      <x:c r="K63" s="12" t="str">
        <x:v>PART</x:v>
      </x:c>
      <x:c r="L63" s="12" t="str">
        <x:v>Add local bulk provision to KEY-R One local capacitor reduces harness and simultaneous MOSFET gate-charge rail transients. Exact capacitance, package and placement remain conditional.</x:v>
      </x:c>
      <x:c r="M63" s="12" t="str"/>
      <x:c r="N63" s="12" t="str">
        <x:v>https://www.ti.com/lit/ds/symlink/sn74hc595.pdf</x:v>
      </x:c>
      <x:c r="O63" s="26" t="d">
        <x:v>2026-10-15T00:00:00.000Z</x:v>
      </x:c>
      <x:c r="P63" s="20"/>
      <x:c r="Q63" s="12" t="str">
        <x:v>PWR-12</x:v>
      </x:c>
    </x:row>
    <x:row r="64" ht="76" customHeight="1">
      <x:c r="A64" s="13" t="str">
        <x:v>XH-H2</x:v>
      </x:c>
      <x:c r="B64" s="13" t="str">
        <x:v>B2B-XH-A</x:v>
      </x:c>
      <x:c r="C64" s="28"/>
      <x:c r="D64" s="28" t="n">
        <x:v>0</x:v>
      </x:c>
      <x:c r="E64" s="28" t="n">
        <x:v>0</x:v>
      </x:c>
      <x:c r="F64" s="17" t="str">
        <x:f>IF(ISNUMBER(C64),MAX(0,C64-D64-E64),"UNKNOWN")</x:f>
        <x:v>UNKNOWN</x:v>
      </x:c>
      <x:c r="G64" s="29"/>
      <x:c r="H64" s="13" t="str">
        <x:v>UNPRICED</x:v>
      </x:c>
      <x:c r="I64" s="25" t="str">
        <x:f>IF(K64="ENCLOSURE QUOTE","IN QUOTE",IF(ISNUMBER(F64),IF(F64=0,0,IF(ISNUMBER(G64),ROUND(F64*G64,2),"UNKNOWN")),"UNKNOWN"))</x:f>
        <x:v>UNKNOWN</x:v>
      </x:c>
      <x:c r="J64" s="13" t="str">
        <x:v>DESIGN HOLD</x:v>
      </x:c>
      <x:c r="K64" s="13" t="str">
        <x:v>PART</x:v>
      </x:c>
      <x:c r="L64" s="13" t="str">
        <x:v>Exact header/housing family retained. Harness quantities depend on new board splits; old quantities are not an order.</x:v>
      </x:c>
      <x:c r="M64" s="13" t="str"/>
      <x:c r="N64" s="13" t="str">
        <x:v>https://www.digikey.ca/en/products/detail/jst-sales-america-inc/B2B-XH-A/1651045</x:v>
      </x:c>
      <x:c r="O64" s="27" t="d">
        <x:v>2026-10-15T00:00:00.000Z</x:v>
      </x:c>
      <x:c r="P64" s="21" t="n">
        <x:v>0.15</x:v>
      </x:c>
      <x:c r="Q64" s="13" t="str">
        <x:v>XH-H2</x:v>
      </x:c>
    </x:row>
    <x:row r="65" ht="76" customHeight="1">
      <x:c r="A65" s="12" t="str">
        <x:v>XH-S2</x:v>
      </x:c>
      <x:c r="B65" s="12" t="str">
        <x:v>XHP-2</x:v>
      </x:c>
      <x:c r="C65" s="28"/>
      <x:c r="D65" s="28" t="n">
        <x:v>0</x:v>
      </x:c>
      <x:c r="E65" s="28" t="n">
        <x:v>0</x:v>
      </x:c>
      <x:c r="F65" s="16" t="str">
        <x:f>IF(ISNUMBER(C65),MAX(0,C65-D65-E65),"UNKNOWN")</x:f>
        <x:v>UNKNOWN</x:v>
      </x:c>
      <x:c r="G65" s="29"/>
      <x:c r="H65" s="12" t="str">
        <x:v>UNPRICED</x:v>
      </x:c>
      <x:c r="I65" s="24" t="str">
        <x:f>IF(K65="ENCLOSURE QUOTE","IN QUOTE",IF(ISNUMBER(F65),IF(F65=0,0,IF(ISNUMBER(G65),ROUND(F65*G65,2),"UNKNOWN")),"UNKNOWN"))</x:f>
        <x:v>UNKNOWN</x:v>
      </x:c>
      <x:c r="J65" s="12" t="str">
        <x:v>DESIGN HOLD</x:v>
      </x:c>
      <x:c r="K65" s="12" t="str">
        <x:v>PART</x:v>
      </x:c>
      <x:c r="L65" s="12" t="str">
        <x:v>Exact header/housing family retained. Harness quantities depend on new board splits; old quantities are not an order.</x:v>
      </x:c>
      <x:c r="M65" s="12" t="str"/>
      <x:c r="N65" s="12" t="str">
        <x:v>https://www.digikey.ca/en/products/detail/jst-sales-america-inc/XHP-2/555485</x:v>
      </x:c>
      <x:c r="O65" s="26" t="d">
        <x:v>2026-10-15T00:00:00.000Z</x:v>
      </x:c>
      <x:c r="P65" s="20" t="n">
        <x:v>0.16</x:v>
      </x:c>
      <x:c r="Q65" s="12" t="str">
        <x:v>XH-S2</x:v>
      </x:c>
    </x:row>
    <x:row r="66" ht="76" customHeight="1">
      <x:c r="A66" s="13" t="str">
        <x:v>XH-H3</x:v>
      </x:c>
      <x:c r="B66" s="13" t="str">
        <x:v>B3B-XH-A</x:v>
      </x:c>
      <x:c r="C66" s="28"/>
      <x:c r="D66" s="28" t="n">
        <x:v>0</x:v>
      </x:c>
      <x:c r="E66" s="28" t="n">
        <x:v>0</x:v>
      </x:c>
      <x:c r="F66" s="17" t="str">
        <x:f>IF(ISNUMBER(C66),MAX(0,C66-D66-E66),"UNKNOWN")</x:f>
        <x:v>UNKNOWN</x:v>
      </x:c>
      <x:c r="G66" s="29"/>
      <x:c r="H66" s="13" t="str">
        <x:v>UNPRICED</x:v>
      </x:c>
      <x:c r="I66" s="25" t="str">
        <x:f>IF(K66="ENCLOSURE QUOTE","IN QUOTE",IF(ISNUMBER(F66),IF(F66=0,0,IF(ISNUMBER(G66),ROUND(F66*G66,2),"UNKNOWN")),"UNKNOWN"))</x:f>
        <x:v>UNKNOWN</x:v>
      </x:c>
      <x:c r="J66" s="13" t="str">
        <x:v>DESIGN HOLD</x:v>
      </x:c>
      <x:c r="K66" s="13" t="str">
        <x:v>PART</x:v>
      </x:c>
      <x:c r="L66" s="13" t="str">
        <x:v>Exact header/housing family retained. Harness quantities depend on new board splits; old quantities are not an order.</x:v>
      </x:c>
      <x:c r="M66" s="13" t="str"/>
      <x:c r="N66" s="13" t="str">
        <x:v>https://www.digikey.ca/en/products/detail/jst-sales-america-inc/B3B-XH-A/1651046</x:v>
      </x:c>
      <x:c r="O66" s="27" t="d">
        <x:v>2026-10-15T00:00:00.000Z</x:v>
      </x:c>
      <x:c r="P66" s="21" t="n">
        <x:v>0.19</x:v>
      </x:c>
      <x:c r="Q66" s="13" t="str">
        <x:v>XH-H3</x:v>
      </x:c>
    </x:row>
    <x:row r="67" ht="76" customHeight="1">
      <x:c r="A67" s="12" t="str">
        <x:v>XH-S3</x:v>
      </x:c>
      <x:c r="B67" s="12" t="str">
        <x:v>XHP-3</x:v>
      </x:c>
      <x:c r="C67" s="28"/>
      <x:c r="D67" s="28" t="n">
        <x:v>0</x:v>
      </x:c>
      <x:c r="E67" s="28" t="n">
        <x:v>0</x:v>
      </x:c>
      <x:c r="F67" s="16" t="str">
        <x:f>IF(ISNUMBER(C67),MAX(0,C67-D67-E67),"UNKNOWN")</x:f>
        <x:v>UNKNOWN</x:v>
      </x:c>
      <x:c r="G67" s="29"/>
      <x:c r="H67" s="12" t="str">
        <x:v>UNPRICED</x:v>
      </x:c>
      <x:c r="I67" s="24" t="str">
        <x:f>IF(K67="ENCLOSURE QUOTE","IN QUOTE",IF(ISNUMBER(F67),IF(F67=0,0,IF(ISNUMBER(G67),ROUND(F67*G67,2),"UNKNOWN")),"UNKNOWN"))</x:f>
        <x:v>UNKNOWN</x:v>
      </x:c>
      <x:c r="J67" s="12" t="str">
        <x:v>DESIGN HOLD</x:v>
      </x:c>
      <x:c r="K67" s="12" t="str">
        <x:v>PART</x:v>
      </x:c>
      <x:c r="L67" s="12" t="str">
        <x:v>Exact header/housing family retained. Harness quantities depend on new board splits; old quantities are not an order.</x:v>
      </x:c>
      <x:c r="M67" s="12" t="str"/>
      <x:c r="N67" s="12" t="str">
        <x:v>https://www.digikey.ca/en/products/detail/jst-sales-america-inc/XHP-3/1651017</x:v>
      </x:c>
      <x:c r="O67" s="26" t="d">
        <x:v>2026-10-15T00:00:00.000Z</x:v>
      </x:c>
      <x:c r="P67" s="20" t="n">
        <x:v>0.16</x:v>
      </x:c>
      <x:c r="Q67" s="12" t="str">
        <x:v>XH-S3</x:v>
      </x:c>
    </x:row>
    <x:row r="68" ht="76" customHeight="1">
      <x:c r="A68" s="13" t="str">
        <x:v>XH-H4</x:v>
      </x:c>
      <x:c r="B68" s="13" t="str">
        <x:v>B4B-XH-A</x:v>
      </x:c>
      <x:c r="C68" s="28"/>
      <x:c r="D68" s="28" t="n">
        <x:v>0</x:v>
      </x:c>
      <x:c r="E68" s="28" t="n">
        <x:v>0</x:v>
      </x:c>
      <x:c r="F68" s="17" t="str">
        <x:f>IF(ISNUMBER(C68),MAX(0,C68-D68-E68),"UNKNOWN")</x:f>
        <x:v>UNKNOWN</x:v>
      </x:c>
      <x:c r="G68" s="29"/>
      <x:c r="H68" s="13" t="str">
        <x:v>UNPRICED</x:v>
      </x:c>
      <x:c r="I68" s="25" t="str">
        <x:f>IF(K68="ENCLOSURE QUOTE","IN QUOTE",IF(ISNUMBER(F68),IF(F68=0,0,IF(ISNUMBER(G68),ROUND(F68*G68,2),"UNKNOWN")),"UNKNOWN"))</x:f>
        <x:v>UNKNOWN</x:v>
      </x:c>
      <x:c r="J68" s="13" t="str">
        <x:v>DESIGN HOLD</x:v>
      </x:c>
      <x:c r="K68" s="13" t="str">
        <x:v>PART</x:v>
      </x:c>
      <x:c r="L68" s="13" t="str">
        <x:v>Exact header/housing family retained. Harness quantities depend on new board splits; old quantities are not an order.</x:v>
      </x:c>
      <x:c r="M68" s="13" t="str"/>
      <x:c r="N68" s="13" t="str">
        <x:v>https://www.digikey.ca/en/products/detail/jst-sales-america-inc/B4B-XH-A/1651047</x:v>
      </x:c>
      <x:c r="O68" s="27" t="d">
        <x:v>2026-10-15T00:00:00.000Z</x:v>
      </x:c>
      <x:c r="P68" s="21" t="n">
        <x:v>0.25</x:v>
      </x:c>
      <x:c r="Q68" s="13" t="str">
        <x:v>XH-H4</x:v>
      </x:c>
    </x:row>
    <x:row r="69" ht="76" customHeight="1">
      <x:c r="A69" s="12" t="str">
        <x:v>XH-S4</x:v>
      </x:c>
      <x:c r="B69" s="12" t="str">
        <x:v>XHP-4</x:v>
      </x:c>
      <x:c r="C69" s="28"/>
      <x:c r="D69" s="28" t="n">
        <x:v>0</x:v>
      </x:c>
      <x:c r="E69" s="28" t="n">
        <x:v>0</x:v>
      </x:c>
      <x:c r="F69" s="16" t="str">
        <x:f>IF(ISNUMBER(C69),MAX(0,C69-D69-E69),"UNKNOWN")</x:f>
        <x:v>UNKNOWN</x:v>
      </x:c>
      <x:c r="G69" s="29"/>
      <x:c r="H69" s="12" t="str">
        <x:v>UNPRICED</x:v>
      </x:c>
      <x:c r="I69" s="24" t="str">
        <x:f>IF(K69="ENCLOSURE QUOTE","IN QUOTE",IF(ISNUMBER(F69),IF(F69=0,0,IF(ISNUMBER(G69),ROUND(F69*G69,2),"UNKNOWN")),"UNKNOWN"))</x:f>
        <x:v>UNKNOWN</x:v>
      </x:c>
      <x:c r="J69" s="12" t="str">
        <x:v>DESIGN HOLD</x:v>
      </x:c>
      <x:c r="K69" s="12" t="str">
        <x:v>PART</x:v>
      </x:c>
      <x:c r="L69" s="12" t="str">
        <x:v>Exact header/housing family retained. Harness quantities depend on new board splits; old quantities are not an order.</x:v>
      </x:c>
      <x:c r="M69" s="12" t="str"/>
      <x:c r="N69" s="12" t="str">
        <x:v>https://www.digikey.ca/en/products/detail/jst-sales-america-inc/XHP-4/683353</x:v>
      </x:c>
      <x:c r="O69" s="26" t="d">
        <x:v>2026-10-15T00:00:00.000Z</x:v>
      </x:c>
      <x:c r="P69" s="20" t="n">
        <x:v>0.16</x:v>
      </x:c>
      <x:c r="Q69" s="12" t="str">
        <x:v>XH-S4</x:v>
      </x:c>
    </x:row>
    <x:row r="70" ht="76" customHeight="1">
      <x:c r="A70" s="13" t="str">
        <x:v>XH-H5</x:v>
      </x:c>
      <x:c r="B70" s="13" t="str">
        <x:v>B5B-XH-A</x:v>
      </x:c>
      <x:c r="C70" s="28"/>
      <x:c r="D70" s="28" t="n">
        <x:v>0</x:v>
      </x:c>
      <x:c r="E70" s="28" t="n">
        <x:v>0</x:v>
      </x:c>
      <x:c r="F70" s="17" t="str">
        <x:f>IF(ISNUMBER(C70),MAX(0,C70-D70-E70),"UNKNOWN")</x:f>
        <x:v>UNKNOWN</x:v>
      </x:c>
      <x:c r="G70" s="29"/>
      <x:c r="H70" s="13" t="str">
        <x:v>UNPRICED</x:v>
      </x:c>
      <x:c r="I70" s="25" t="str">
        <x:f>IF(K70="ENCLOSURE QUOTE","IN QUOTE",IF(ISNUMBER(F70),IF(F70=0,0,IF(ISNUMBER(G70),ROUND(F70*G70,2),"UNKNOWN")),"UNKNOWN"))</x:f>
        <x:v>UNKNOWN</x:v>
      </x:c>
      <x:c r="J70" s="13" t="str">
        <x:v>DESIGN HOLD</x:v>
      </x:c>
      <x:c r="K70" s="13" t="str">
        <x:v>PART</x:v>
      </x:c>
      <x:c r="L70" s="13" t="str">
        <x:v>Exact header/housing family retained. Harness quantities depend on new board splits; old quantities are not an order.</x:v>
      </x:c>
      <x:c r="M70" s="13" t="str"/>
      <x:c r="N70" s="13" t="str">
        <x:v>https://www.digikey.ca/en/products/detail/jst-sales-america-inc/B5B-XH-A/1530483</x:v>
      </x:c>
      <x:c r="O70" s="27" t="d">
        <x:v>2026-10-15T00:00:00.000Z</x:v>
      </x:c>
      <x:c r="P70" s="21" t="n">
        <x:v>0.3</x:v>
      </x:c>
      <x:c r="Q70" s="13" t="str">
        <x:v>XH-H5</x:v>
      </x:c>
    </x:row>
    <x:row r="71" ht="76" customHeight="1">
      <x:c r="A71" s="12" t="str">
        <x:v>XH-S5</x:v>
      </x:c>
      <x:c r="B71" s="12" t="str">
        <x:v>XHP-5</x:v>
      </x:c>
      <x:c r="C71" s="28"/>
      <x:c r="D71" s="28" t="n">
        <x:v>0</x:v>
      </x:c>
      <x:c r="E71" s="28" t="n">
        <x:v>0</x:v>
      </x:c>
      <x:c r="F71" s="16" t="str">
        <x:f>IF(ISNUMBER(C71),MAX(0,C71-D71-E71),"UNKNOWN")</x:f>
        <x:v>UNKNOWN</x:v>
      </x:c>
      <x:c r="G71" s="29"/>
      <x:c r="H71" s="12" t="str">
        <x:v>UNPRICED</x:v>
      </x:c>
      <x:c r="I71" s="24" t="str">
        <x:f>IF(K71="ENCLOSURE QUOTE","IN QUOTE",IF(ISNUMBER(F71),IF(F71=0,0,IF(ISNUMBER(G71),ROUND(F71*G71,2),"UNKNOWN")),"UNKNOWN"))</x:f>
        <x:v>UNKNOWN</x:v>
      </x:c>
      <x:c r="J71" s="12" t="str">
        <x:v>DESIGN HOLD</x:v>
      </x:c>
      <x:c r="K71" s="12" t="str">
        <x:v>PART</x:v>
      </x:c>
      <x:c r="L71" s="12" t="str">
        <x:v>Exact header/housing family retained. Harness quantities depend on new board splits; old quantities are not an order.</x:v>
      </x:c>
      <x:c r="M71" s="12" t="str"/>
      <x:c r="N71" s="12" t="str">
        <x:v>https://www.digikey.ca/en/products/detail/jst-sales-america-inc/XHP-5/1125486</x:v>
      </x:c>
      <x:c r="O71" s="26" t="d">
        <x:v>2026-10-15T00:00:00.000Z</x:v>
      </x:c>
      <x:c r="P71" s="20" t="n">
        <x:v>0.16</x:v>
      </x:c>
      <x:c r="Q71" s="12" t="str">
        <x:v>XH-S5</x:v>
      </x:c>
    </x:row>
    <x:row r="72" ht="76" customHeight="1">
      <x:c r="A72" s="13" t="str">
        <x:v>XH-H6</x:v>
      </x:c>
      <x:c r="B72" s="13" t="str">
        <x:v>B6B-XH-A</x:v>
      </x:c>
      <x:c r="C72" s="28"/>
      <x:c r="D72" s="28" t="n">
        <x:v>0</x:v>
      </x:c>
      <x:c r="E72" s="28" t="n">
        <x:v>0</x:v>
      </x:c>
      <x:c r="F72" s="17" t="str">
        <x:f>IF(ISNUMBER(C72),MAX(0,C72-D72-E72),"UNKNOWN")</x:f>
        <x:v>UNKNOWN</x:v>
      </x:c>
      <x:c r="G72" s="29"/>
      <x:c r="H72" s="13" t="str">
        <x:v>UNPRICED</x:v>
      </x:c>
      <x:c r="I72" s="25" t="str">
        <x:f>IF(K72="ENCLOSURE QUOTE","IN QUOTE",IF(ISNUMBER(F72),IF(F72=0,0,IF(ISNUMBER(G72),ROUND(F72*G72,2),"UNKNOWN")),"UNKNOWN"))</x:f>
        <x:v>UNKNOWN</x:v>
      </x:c>
      <x:c r="J72" s="13" t="str">
        <x:v>DESIGN HOLD</x:v>
      </x:c>
      <x:c r="K72" s="13" t="str">
        <x:v>PART</x:v>
      </x:c>
      <x:c r="L72" s="13" t="str">
        <x:v>Exact header/housing family retained. Harness quantities depend on new board splits; old quantities are not an order.</x:v>
      </x:c>
      <x:c r="M72" s="13" t="str"/>
      <x:c r="N72" s="13" t="str">
        <x:v>https://www.digikey.ca/en/products/detail/jst-sales-america-inc/B6B-XH-A/1000381</x:v>
      </x:c>
      <x:c r="O72" s="27" t="d">
        <x:v>2026-10-15T00:00:00.000Z</x:v>
      </x:c>
      <x:c r="P72" s="21" t="n">
        <x:v>0.34</x:v>
      </x:c>
      <x:c r="Q72" s="13" t="str">
        <x:v>XH-H6</x:v>
      </x:c>
    </x:row>
    <x:row r="73" ht="76" customHeight="1">
      <x:c r="A73" s="12" t="str">
        <x:v>XH-S6</x:v>
      </x:c>
      <x:c r="B73" s="12" t="str">
        <x:v>XHP-6</x:v>
      </x:c>
      <x:c r="C73" s="28"/>
      <x:c r="D73" s="28" t="n">
        <x:v>0</x:v>
      </x:c>
      <x:c r="E73" s="28" t="n">
        <x:v>0</x:v>
      </x:c>
      <x:c r="F73" s="16" t="str">
        <x:f>IF(ISNUMBER(C73),MAX(0,C73-D73-E73),"UNKNOWN")</x:f>
        <x:v>UNKNOWN</x:v>
      </x:c>
      <x:c r="G73" s="29"/>
      <x:c r="H73" s="12" t="str">
        <x:v>UNPRICED</x:v>
      </x:c>
      <x:c r="I73" s="24" t="str">
        <x:f>IF(K73="ENCLOSURE QUOTE","IN QUOTE",IF(ISNUMBER(F73),IF(F73=0,0,IF(ISNUMBER(G73),ROUND(F73*G73,2),"UNKNOWN")),"UNKNOWN"))</x:f>
        <x:v>UNKNOWN</x:v>
      </x:c>
      <x:c r="J73" s="12" t="str">
        <x:v>DESIGN HOLD</x:v>
      </x:c>
      <x:c r="K73" s="12" t="str">
        <x:v>PART</x:v>
      </x:c>
      <x:c r="L73" s="12" t="str">
        <x:v>Exact header/housing family retained. Harness quantities depend on new board splits; old quantities are not an order.</x:v>
      </x:c>
      <x:c r="M73" s="12" t="str"/>
      <x:c r="N73" s="12" t="str">
        <x:v>https://www.digikey.ca/en/products/detail/jst-sales-america-inc/XHP-6/1651016</x:v>
      </x:c>
      <x:c r="O73" s="26" t="d">
        <x:v>2026-10-15T00:00:00.000Z</x:v>
      </x:c>
      <x:c r="P73" s="20" t="n">
        <x:v>0.16</x:v>
      </x:c>
      <x:c r="Q73" s="12" t="str">
        <x:v>XH-S6</x:v>
      </x:c>
    </x:row>
    <x:row r="74" ht="76" customHeight="1">
      <x:c r="A74" s="13" t="str">
        <x:v>XH-H10</x:v>
      </x:c>
      <x:c r="B74" s="13" t="str">
        <x:v>B10B-XH-A</x:v>
      </x:c>
      <x:c r="C74" s="28"/>
      <x:c r="D74" s="28" t="n">
        <x:v>0</x:v>
      </x:c>
      <x:c r="E74" s="28" t="n">
        <x:v>0</x:v>
      </x:c>
      <x:c r="F74" s="17" t="str">
        <x:f>IF(ISNUMBER(C74),MAX(0,C74-D74-E74),"UNKNOWN")</x:f>
        <x:v>UNKNOWN</x:v>
      </x:c>
      <x:c r="G74" s="29"/>
      <x:c r="H74" s="13" t="str">
        <x:v>UNPRICED</x:v>
      </x:c>
      <x:c r="I74" s="25" t="str">
        <x:f>IF(K74="ENCLOSURE QUOTE","IN QUOTE",IF(ISNUMBER(F74),IF(F74=0,0,IF(ISNUMBER(G74),ROUND(F74*G74,2),"UNKNOWN")),"UNKNOWN"))</x:f>
        <x:v>UNKNOWN</x:v>
      </x:c>
      <x:c r="J74" s="13" t="str">
        <x:v>DESIGN HOLD</x:v>
      </x:c>
      <x:c r="K74" s="13" t="str">
        <x:v>PART</x:v>
      </x:c>
      <x:c r="L74" s="13" t="str">
        <x:v>Exact header/housing family retained. Harness quantities depend on new board splits; old quantities are not an order.</x:v>
      </x:c>
      <x:c r="M74" s="13" t="str"/>
      <x:c r="N74" s="13" t="str">
        <x:v>https://www.digikey.ca/en/products/detail/jst-sales-america-inc/B10B-XH-A/1651051</x:v>
      </x:c>
      <x:c r="O74" s="27" t="d">
        <x:v>2026-10-15T00:00:00.000Z</x:v>
      </x:c>
      <x:c r="P74" s="21" t="n">
        <x:v>0.58</x:v>
      </x:c>
      <x:c r="Q74" s="13" t="str">
        <x:v>XH-H10</x:v>
      </x:c>
    </x:row>
    <x:row r="75" ht="76" customHeight="1">
      <x:c r="A75" s="12" t="str">
        <x:v>XH-S10</x:v>
      </x:c>
      <x:c r="B75" s="12" t="str">
        <x:v>XHP-10</x:v>
      </x:c>
      <x:c r="C75" s="28"/>
      <x:c r="D75" s="28" t="n">
        <x:v>0</x:v>
      </x:c>
      <x:c r="E75" s="28" t="n">
        <x:v>0</x:v>
      </x:c>
      <x:c r="F75" s="16" t="str">
        <x:f>IF(ISNUMBER(C75),MAX(0,C75-D75-E75),"UNKNOWN")</x:f>
        <x:v>UNKNOWN</x:v>
      </x:c>
      <x:c r="G75" s="29"/>
      <x:c r="H75" s="12" t="str">
        <x:v>UNPRICED</x:v>
      </x:c>
      <x:c r="I75" s="24" t="str">
        <x:f>IF(K75="ENCLOSURE QUOTE","IN QUOTE",IF(ISNUMBER(F75),IF(F75=0,0,IF(ISNUMBER(G75),ROUND(F75*G75,2),"UNKNOWN")),"UNKNOWN"))</x:f>
        <x:v>UNKNOWN</x:v>
      </x:c>
      <x:c r="J75" s="12" t="str">
        <x:v>DESIGN HOLD</x:v>
      </x:c>
      <x:c r="K75" s="12" t="str">
        <x:v>PART</x:v>
      </x:c>
      <x:c r="L75" s="12" t="str">
        <x:v>Exact header/housing family retained. Harness quantities depend on new board splits; old quantities are not an order.</x:v>
      </x:c>
      <x:c r="M75" s="12" t="str"/>
      <x:c r="N75" s="12" t="str">
        <x:v>https://www.digikey.ca/en/products/detail/jst-sales-america-inc/XHP-10/1651008</x:v>
      </x:c>
      <x:c r="O75" s="26" t="d">
        <x:v>2026-10-15T00:00:00.000Z</x:v>
      </x:c>
      <x:c r="P75" s="20" t="n">
        <x:v>0.24</x:v>
      </x:c>
      <x:c r="Q75" s="12" t="str">
        <x:v>XH-S10</x:v>
      </x:c>
    </x:row>
    <x:row r="76" ht="76" customHeight="1">
      <x:c r="A76" s="13" t="str">
        <x:v>XH-W</x:v>
      </x:c>
      <x:c r="B76" s="13" t="str">
        <x:v>ASXHSXH22K305</x:v>
      </x:c>
      <x:c r="C76" s="28"/>
      <x:c r="D76" s="28" t="n">
        <x:v>0</x:v>
      </x:c>
      <x:c r="E76" s="28" t="n">
        <x:v>0</x:v>
      </x:c>
      <x:c r="F76" s="17" t="str">
        <x:f>IF(ISNUMBER(C76),MAX(0,C76-D76-E76),"UNKNOWN")</x:f>
        <x:v>UNKNOWN</x:v>
      </x:c>
      <x:c r="G76" s="29"/>
      <x:c r="H76" s="13" t="str">
        <x:v>UNPRICED</x:v>
      </x:c>
      <x:c r="I76" s="25" t="str">
        <x:f>IF(K76="ENCLOSURE QUOTE","IN QUOTE",IF(ISNUMBER(F76),IF(F76=0,0,IF(ISNUMBER(G76),ROUND(F76*G76,2),"UNKNOWN")),"UNKNOWN"))</x:f>
        <x:v>UNKNOWN</x:v>
      </x:c>
      <x:c r="J76" s="13" t="str">
        <x:v>DESIGN HOLD</x:v>
      </x:c>
      <x:c r="K76" s="13" t="str">
        <x:v>PART</x:v>
      </x:c>
      <x:c r="L76" s="13" t="str">
        <x:v>Exact header/housing family retained. Harness quantities depend on new board splits; old quantities are not an order.</x:v>
      </x:c>
      <x:c r="M76" s="13" t="str"/>
      <x:c r="N76" s="13" t="str">
        <x:v>https://www.digikey.ca/en/products/detail/jst-sales-america-inc/ASXHSXH22K305/6684932</x:v>
      </x:c>
      <x:c r="O76" s="27" t="d">
        <x:v>2026-10-15T00:00:00.000Z</x:v>
      </x:c>
      <x:c r="P76" s="21" t="n">
        <x:v>1.0736</x:v>
      </x:c>
      <x:c r="Q76" s="13" t="str">
        <x:v>XH-W</x:v>
      </x:c>
    </x:row>
    <x:row r="77" ht="76" customHeight="1">
      <x:c r="A77" s="12" t="str">
        <x:v>KEY-27</x:v>
      </x:c>
      <x:c r="B77" s="12" t="str">
        <x:v>3FTH9871KC11162K09</x:v>
      </x:c>
      <x:c r="C77" s="28" t="n">
        <x:v>27</x:v>
      </x:c>
      <x:c r="D77" s="28" t="n">
        <x:v>0</x:v>
      </x:c>
      <x:c r="E77" s="28" t="n">
        <x:v>0</x:v>
      </x:c>
      <x:c r="F77" s="16" t="n">
        <x:f>IF(ISNUMBER(C77),MAX(0,C77-D77-E77),"UNKNOWN")</x:f>
        <x:v>27</x:v>
      </x:c>
      <x:c r="G77" s="29"/>
      <x:c r="H77" s="12" t="str">
        <x:v>UNPRICED</x:v>
      </x:c>
      <x:c r="I77" s="24" t="str">
        <x:f>IF(K77="ENCLOSURE QUOTE","IN QUOTE",IF(ISNUMBER(F77),IF(F77=0,0,IF(ISNUMBER(G77),ROUND(F77*G77,2),"UNKNOWN")),"UNKNOWN"))</x:f>
        <x:v>UNKNOWN</x:v>
      </x:c>
      <x:c r="J77" s="12" t="str">
        <x:v>DESIGN HOLD</x:v>
      </x:c>
      <x:c r="K77" s="12" t="str">
        <x:v>PART</x:v>
      </x:c>
      <x:c r="L77" s="12" t="str">
        <x:v>Owner-selected appearance. Exact complete MPN catalogued. Quote, minimum order and shipment unknown. APEM request already sent14Oct; no reply found. Cap-only/core-only listings are not complete-unit prices.</x:v>
      </x:c>
      <x:c r="M77" s="12" t="str"/>
      <x:c r="N77" s="12" t="str">
        <x:v>https://www.apem.com/pcb-switches/mec-switches/1kc</x:v>
      </x:c>
      <x:c r="O77" s="26" t="d">
        <x:v>2026-10-15T00:00:00.000Z</x:v>
      </x:c>
      <x:c r="P77" s="20"/>
      <x:c r="Q77" s="12" t="str"/>
    </x:row>
    <x:row r="78" ht="76" customHeight="1">
      <x:c r="A78" s="13" t="str">
        <x:v>R-10K</x:v>
      </x:c>
      <x:c r="B78" s="13" t="str">
        <x:v>MFR-25FBF52-10K</x:v>
      </x:c>
      <x:c r="C78" s="28" t="n">
        <x:v>67</x:v>
      </x:c>
      <x:c r="D78" s="28" t="n">
        <x:v>0</x:v>
      </x:c>
      <x:c r="E78" s="28" t="n">
        <x:v>0</x:v>
      </x:c>
      <x:c r="F78" s="17" t="n">
        <x:f>IF(ISNUMBER(C78),MAX(0,C78-D78-E78),"UNKNOWN")</x:f>
        <x:v>67</x:v>
      </x:c>
      <x:c r="G78" s="29"/>
      <x:c r="H78" s="13" t="str">
        <x:v>UNPRICED</x:v>
      </x:c>
      <x:c r="I78" s="25" t="str">
        <x:f>IF(K78="ENCLOSURE QUOTE","IN QUOTE",IF(ISNUMBER(F78),IF(F78=0,0,IF(ISNUMBER(G78),ROUND(F78*G78,2),"UNKNOWN")),"UNKNOWN"))</x:f>
        <x:v>UNKNOWN</x:v>
      </x:c>
      <x:c r="J78" s="13" t="str">
        <x:v>DESIGN HOLD</x:v>
      </x:c>
      <x:c r="K78" s="13" t="str">
        <x:v>PART</x:v>
      </x:c>
      <x:c r="L78" s="13" t="str">
        <x:v>46 contact/phase pullups +12 encoder filter resistors +9 boot defaults. Reconcile with final schematic; replaces three duplicated historical order lines.</x:v>
      </x:c>
      <x:c r="M78" s="13" t="str"/>
      <x:c r="N78" s="13" t="str">
        <x:v>https://www.digikey.ca/en/products/detail/yageo/MFR-25FBF52-10K/13219</x:v>
      </x:c>
      <x:c r="O78" s="27" t="d">
        <x:v>2026-10-15T00:00:00.000Z</x:v>
      </x:c>
      <x:c r="P78" s="21"/>
      <x:c r="Q78" s="13" t="str"/>
    </x:row>
    <x:row r="79" ht="76" customHeight="1">
      <x:c r="A79" s="12" t="str">
        <x:v>R-1K</x:v>
      </x:c>
      <x:c r="B79" s="12" t="str">
        <x:v>MFR-25FBF52-1K</x:v>
      </x:c>
      <x:c r="C79" s="28" t="n">
        <x:v>30</x:v>
      </x:c>
      <x:c r="D79" s="28" t="n">
        <x:v>0</x:v>
      </x:c>
      <x:c r="E79" s="28" t="n">
        <x:v>0</x:v>
      </x:c>
      <x:c r="F79" s="16" t="n">
        <x:f>IF(ISNUMBER(C79),MAX(0,C79-D79-E79),"UNKNOWN")</x:f>
        <x:v>30</x:v>
      </x:c>
      <x:c r="G79" s="29"/>
      <x:c r="H79" s="12" t="str">
        <x:v>UNPRICED</x:v>
      </x:c>
      <x:c r="I79" s="24" t="str">
        <x:f>IF(K79="ENCLOSURE QUOTE","IN QUOTE",IF(ISNUMBER(F79),IF(F79=0,0,IF(ISNUMBER(G79),ROUND(F79*G79,2),"UNKNOWN")),"UNKNOWN"))</x:f>
        <x:v>UNKNOWN</x:v>
      </x:c>
      <x:c r="J79" s="12" t="str">
        <x:v>DESIGN HOLD</x:v>
      </x:c>
      <x:c r="K79" s="12" t="str">
        <x:v>PART</x:v>
      </x:c>
      <x:c r="L79" s="12" t="str">
        <x:v>3 ADC series +27 gate series. Count once across all boards.</x:v>
      </x:c>
      <x:c r="M79" s="12" t="str"/>
      <x:c r="N79" s="12" t="str">
        <x:v>https://www.digikey.ca/en/products/detail/yageo/MFR-25FBF52-1K/13011</x:v>
      </x:c>
      <x:c r="O79" s="26" t="d">
        <x:v>2026-10-15T00:00:00.000Z</x:v>
      </x:c>
      <x:c r="P79" s="20"/>
      <x:c r="Q79" s="12" t="str"/>
    </x:row>
    <x:row r="80" ht="76" customHeight="1">
      <x:c r="A80" s="13" t="str">
        <x:v>C-100N</x:v>
      </x:c>
      <x:c r="B80" s="13" t="str">
        <x:v>C315C104K5R5TA</x:v>
      </x:c>
      <x:c r="C80" s="28" t="n">
        <x:v>19</x:v>
      </x:c>
      <x:c r="D80" s="28" t="n">
        <x:v>0</x:v>
      </x:c>
      <x:c r="E80" s="28" t="n">
        <x:v>0</x:v>
      </x:c>
      <x:c r="F80" s="17" t="n">
        <x:f>IF(ISNUMBER(C80),MAX(0,C80-D80-E80),"UNKNOWN")</x:f>
        <x:v>19</x:v>
      </x:c>
      <x:c r="G80" s="29"/>
      <x:c r="H80" s="13" t="str">
        <x:v>UNPRICED</x:v>
      </x:c>
      <x:c r="I80" s="25" t="str">
        <x:f>IF(K80="ENCLOSURE QUOTE","IN QUOTE",IF(ISNUMBER(F80),IF(F80=0,0,IF(ISNUMBER(G80),ROUND(F80*G80,2),"UNKNOWN")),"UNKNOWN"))</x:f>
        <x:v>UNKNOWN</x:v>
      </x:c>
      <x:c r="J80" s="13" t="str">
        <x:v>DESIGN HOLD</x:v>
      </x:c>
      <x:c r="K80" s="13" t="str">
        <x:v>PART</x:v>
      </x:c>
      <x:c r="L80" s="13" t="str">
        <x:v>6 HC165 +4 HC595 +2 HC14 +2 RS422 =14 IC bypass; +2 conditional UART buffers +3 ADC=19. Protection IC bypasses additional TBD.</x:v>
      </x:c>
      <x:c r="M80" s="13" t="str"/>
      <x:c r="N80" s="13" t="str">
        <x:v>https://www.digikey.ca/en/products/detail/kemet/C315C104K5R5TA/12701330</x:v>
      </x:c>
      <x:c r="O80" s="27" t="d">
        <x:v>2026-10-15T00:00:00.000Z</x:v>
      </x:c>
      <x:c r="P80" s="21"/>
      <x:c r="Q80" s="13" t="str"/>
    </x:row>
    <x:row r="81" ht="76" customHeight="1">
      <x:c r="A81" s="12" t="str">
        <x:v>AC-CORD</x:v>
      </x:c>
      <x:c r="B81" s="12" t="str">
        <x:v>TBD cord matched to supply inlet</x:v>
      </x:c>
      <x:c r="C81" s="28" t="n">
        <x:v>1</x:v>
      </x:c>
      <x:c r="D81" s="28" t="n">
        <x:v>0</x:v>
      </x:c>
      <x:c r="E81" s="28" t="n">
        <x:v>0</x:v>
      </x:c>
      <x:c r="F81" s="16" t="n">
        <x:f>IF(ISNUMBER(C81),MAX(0,C81-D81-E81),"UNKNOWN")</x:f>
        <x:v>1</x:v>
      </x:c>
      <x:c r="G81" s="29"/>
      <x:c r="H81" s="12" t="str">
        <x:v>UNPRICED</x:v>
      </x:c>
      <x:c r="I81" s="24" t="str">
        <x:f>IF(K81="ENCLOSURE QUOTE","IN QUOTE",IF(ISNUMBER(F81),IF(F81=0,0,IF(ISNUMBER(G81),ROUND(F81*G81,2),"UNKNOWN")),"UNKNOWN"))</x:f>
        <x:v>UNKNOWN</x:v>
      </x:c>
      <x:c r="J81" s="12" t="str">
        <x:v>DESIGN HOLD</x:v>
      </x:c>
      <x:c r="K81" s="12" t="str">
        <x:v>PART</x:v>
      </x:c>
      <x:c r="L81" s="12" t="str">
        <x:v>Check an owned cord first; exact inlet/cord not verified. No mains wiring inside enclosure.</x:v>
      </x:c>
      <x:c r="M81" s="12" t="str"/>
      <x:c r="N81" s="12" t="str"/>
      <x:c r="O81" s="26" t="d">
        <x:v>2026-10-15T00:00:00.000Z</x:v>
      </x:c>
      <x:c r="P81" s="20"/>
      <x:c r="Q81" s="12" t="str"/>
    </x:row>
  </x:sheetData>
  <x:conditionalFormatting sqref="I7:I81">
    <x:cfRule type="containsText" dxfId="0" priority="1" operator="containsText" text="UNKNOWN"/>
  </x:conditionalFormatting>
  <x:conditionalFormatting sqref="J7:J81">
    <x:cfRule type="containsText" dxfId="1" priority="2" operator="containsText" text="HOLD"/>
  </x:conditionalFormatting>
  <x:dataValidations count="1">
    <x:dataValidation type="list" sqref="H7:H81">
      <x:formula1>"UNPRICED,CHECKED CAD,QUOTE,OWNED,APPROVED SAMPLE"</x:formula1>
    </x:dataValidation>
  </x:dataValidations>
  <x:pageMargins left="0.7" right="0.7" top="0.75" bottom="0.75" header="0.3" footer="0.3"/>
  <x:tableParts count="1">
    <x:tablePart xmlns:r="http://schemas.openxmlformats.org/officeDocument/2006/relationships" r:id="Rf16593ff911a4256"/>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8" hidden="0" customWidth="1"/>
    <x:col min="2" max="2" width="55" hidden="0" customWidth="1"/>
    <x:col min="3" max="3" width="16" hidden="0" customWidth="1"/>
    <x:col min="4" max="4" width="18" hidden="0" customWidth="1"/>
    <x:col min="5" max="5" width="28" hidden="0" customWidth="1"/>
    <x:col min="6" max="6" width="27" hidden="0" customWidth="1"/>
    <x:col min="7" max="7" width="85" hidden="0" customWidth="1"/>
  </x:cols>
  <x:sheetData>
    <x:row r="1">
      <x:c r="A1" s="4"/>
      <x:c r="B1" s="4"/>
      <x:c r="C1" s="4"/>
      <x:c r="D1" s="4"/>
      <x:c r="E1" s="4"/>
      <x:c r="F1" s="4"/>
      <x:c r="G1" s="4"/>
    </x:row>
    <x:row r="2">
      <x:c r="A2" s="5" t="str">
        <x:v>R6.2 records retained for reconciliation</x:v>
      </x:c>
      <x:c r="B2" s="4"/>
      <x:c r="C2" s="4"/>
      <x:c r="D2" s="4"/>
      <x:c r="E2" s="4"/>
      <x:c r="F2" s="4"/>
      <x:c r="G2" s="4"/>
    </x:row>
    <x:row r="3">
      <x:c r="A3" s="6"/>
      <x:c r="B3" s="6"/>
      <x:c r="C3" s="6"/>
      <x:c r="D3" s="6"/>
      <x:c r="E3" s="6"/>
      <x:c r="F3" s="6"/>
      <x:c r="G3" s="6"/>
    </x:row>
    <x:row r="4">
      <x:c r="A4" s="7" t="str">
        <x:v>All 96 legacy IDs are mapped. This sheet never feeds the current purchase total.</x:v>
      </x:c>
      <x:c r="B4" s="4"/>
      <x:c r="C4" s="4"/>
      <x:c r="D4" s="4"/>
      <x:c r="E4" s="4"/>
      <x:c r="F4" s="4"/>
      <x:c r="G4" s="4"/>
    </x:row>
    <x:row r="5">
      <x:c r="A5" s="4"/>
      <x:c r="B5" s="4"/>
      <x:c r="C5" s="4"/>
      <x:c r="D5" s="4"/>
      <x:c r="E5" s="4"/>
      <x:c r="F5" s="4"/>
      <x:c r="G5" s="4"/>
    </x:row>
    <x:row r="6" ht="36" customHeight="1">
      <x:c r="A6" s="11" t="str">
        <x:v>Legacy ID</x:v>
      </x:c>
      <x:c r="B6" s="11" t="str">
        <x:v>Historical MPN</x:v>
      </x:c>
      <x:c r="C6" s="11" t="str">
        <x:v>Historical qty</x:v>
      </x:c>
      <x:c r="D6" s="11" t="str">
        <x:v>Historical unit CAD</x:v>
      </x:c>
      <x:c r="E6" s="11" t="str">
        <x:v>Snapshot only</x:v>
      </x:c>
      <x:c r="F6" s="11" t="str">
        <x:v>Current record</x:v>
      </x:c>
      <x:c r="G6" s="11" t="str">
        <x:v>Disposition</x:v>
      </x:c>
    </x:row>
    <x:row r="7" ht="44" customHeight="1">
      <x:c r="A7" s="12" t="str">
        <x:v>CTL-01</x:v>
      </x:c>
      <x:c r="B7" s="12" t="str">
        <x:v>B3F-4050</x:v>
      </x:c>
      <x:c r="C7" s="16" t="n">
        <x:v>25</x:v>
      </x:c>
      <x:c r="D7" s="20"/>
      <x:c r="E7" s="12" t="str">
        <x:v>2026-10-14 archival snapshot</x:v>
      </x:c>
      <x:c r="F7" s="12" t="str">
        <x:v>CTL-01</x:v>
      </x:c>
      <x:c r="G7" s="12" t="str">
        <x:v>Retained candidate; quantity, present pricing and release status follow current Parts sheet.</x:v>
      </x:c>
    </x:row>
    <x:row r="8" ht="44" customHeight="1">
      <x:c r="A8" s="13" t="str">
        <x:v>CTL-02</x:v>
      </x:c>
      <x:c r="B8" s="13" t="str">
        <x:v>B3W-9000-G1C</x:v>
      </x:c>
      <x:c r="C8" s="17" t="n">
        <x:v>2</x:v>
      </x:c>
      <x:c r="D8" s="21" t="n">
        <x:v>6.66</x:v>
      </x:c>
      <x:c r="E8" s="13" t="str">
        <x:v>2026-10-14 archival snapshot</x:v>
      </x:c>
      <x:c r="F8" s="13" t="str">
        <x:v>KEY-27</x:v>
      </x:c>
      <x:c r="G8" s="13" t="str">
        <x:v>27 complete APEM assemblies replace separate B3W/green LEDs/custom optical guides.</x:v>
      </x:c>
    </x:row>
    <x:row r="9" ht="44" customHeight="1">
      <x:c r="A9" s="12" t="str">
        <x:v>CTL-03</x:v>
      </x:c>
      <x:c r="B9" s="12" t="str">
        <x:v>WP710A10LGD</x:v>
      </x:c>
      <x:c r="C9" s="16" t="n">
        <x:v>10</x:v>
      </x:c>
      <x:c r="D9" s="20" t="n">
        <x:v>0.241</x:v>
      </x:c>
      <x:c r="E9" s="12" t="str">
        <x:v>2026-10-14 archival snapshot</x:v>
      </x:c>
      <x:c r="F9" s="12" t="str">
        <x:v>KEY-27</x:v>
      </x:c>
      <x:c r="G9" s="12" t="str">
        <x:v>27 complete APEM assemblies replace separate B3W/green LEDs/custom optical guides.</x:v>
      </x:c>
    </x:row>
    <x:row r="10" ht="44" customHeight="1">
      <x:c r="A10" s="13" t="str">
        <x:v>CTL-04</x:v>
      </x:c>
      <x:c r="B10" s="13" t="str">
        <x:v>TBD translucent guided cap for 3.8 mm square projected stem</x:v>
      </x:c>
      <x:c r="C10" s="17" t="n">
        <x:v>10</x:v>
      </x:c>
      <x:c r="D10" s="21"/>
      <x:c r="E10" s="13" t="str">
        <x:v>2026-10-14 archival snapshot</x:v>
      </x:c>
      <x:c r="F10" s="13" t="str">
        <x:v>KEY-27</x:v>
      </x:c>
      <x:c r="G10" s="13" t="str">
        <x:v>27 complete APEM assemblies replace separate B3W/green LEDs/custom optical guides.</x:v>
      </x:c>
    </x:row>
    <x:row r="11" ht="44" customHeight="1">
      <x:c r="A11" s="12" t="str">
        <x:v>CTL-05</x:v>
      </x:c>
      <x:c r="B11" s="12" t="str">
        <x:v>B32-1310</x:v>
      </x:c>
      <x:c r="C11" s="16" t="n">
        <x:v>15</x:v>
      </x:c>
      <x:c r="D11" s="20" t="n">
        <x:v>0.53</x:v>
      </x:c>
      <x:c r="E11" s="12" t="str">
        <x:v>2026-10-14 archival snapshot</x:v>
      </x:c>
      <x:c r="F11" s="12" t="str">
        <x:v>CTL-05</x:v>
      </x:c>
      <x:c r="G11" s="12" t="str">
        <x:v>Retained candidate; quantity, present pricing and release status follow current Parts sheet.</x:v>
      </x:c>
    </x:row>
    <x:row r="12" ht="44" customHeight="1">
      <x:c r="A12" s="13" t="str">
        <x:v>CTL-06</x:v>
      </x:c>
      <x:c r="B12" s="13" t="str">
        <x:v>TBD light guide / cap retainer assembly</x:v>
      </x:c>
      <x:c r="C12" s="17" t="n">
        <x:v>10</x:v>
      </x:c>
      <x:c r="D12" s="21"/>
      <x:c r="E12" s="13" t="str">
        <x:v>2026-10-14 archival snapshot</x:v>
      </x:c>
      <x:c r="F12" s="13" t="str">
        <x:v>KEY-27</x:v>
      </x:c>
      <x:c r="G12" s="13" t="str">
        <x:v>27 complete APEM assemblies replace separate B3W/green LEDs/custom optical guides.</x:v>
      </x:c>
    </x:row>
    <x:row r="13" ht="44" customHeight="1">
      <x:c r="A13" s="12" t="str">
        <x:v>CTL-07</x:v>
      </x:c>
      <x:c r="B13" s="12" t="str">
        <x:v>PEC11R-4220F-N0024</x:v>
      </x:c>
      <x:c r="C13" s="16" t="n">
        <x:v>6</x:v>
      </x:c>
      <x:c r="D13" s="20" t="n">
        <x:v>3.51</x:v>
      </x:c>
      <x:c r="E13" s="12" t="str">
        <x:v>2026-10-14 archival snapshot</x:v>
      </x:c>
      <x:c r="F13" s="12" t="str">
        <x:v>CTL-07</x:v>
      </x:c>
      <x:c r="G13" s="12" t="str">
        <x:v>Retained candidate; quantity, present pricing and release status follow current Parts sheet.</x:v>
      </x:c>
    </x:row>
    <x:row r="14" ht="44" customHeight="1">
      <x:c r="A14" s="13" t="str">
        <x:v>CTL-08</x:v>
      </x:c>
      <x:c r="B14" s="13" t="str">
        <x:v>5527</x:v>
      </x:c>
      <x:c r="C14" s="17" t="n">
        <x:v>6</x:v>
      </x:c>
      <x:c r="D14" s="21" t="n">
        <x:v>4.71</x:v>
      </x:c>
      <x:c r="E14" s="13" t="str">
        <x:v>2026-10-14 archival snapshot</x:v>
      </x:c>
      <x:c r="F14" s="13" t="str">
        <x:v>CTL-08</x:v>
      </x:c>
      <x:c r="G14" s="13" t="str">
        <x:v>Retained candidate; quantity, present pricing and release status follow current Parts sheet.</x:v>
      </x:c>
    </x:row>
    <x:row r="15" ht="44" customHeight="1">
      <x:c r="A15" s="12" t="str">
        <x:v>CTL-09</x:v>
      </x:c>
      <x:c r="B15" s="12" t="str">
        <x:v>605616</x:v>
      </x:c>
      <x:c r="C15" s="16" t="n">
        <x:v>1</x:v>
      </x:c>
      <x:c r="D15" s="20" t="n">
        <x:v>45.7</x:v>
      </x:c>
      <x:c r="E15" s="12" t="str">
        <x:v>2026-10-14 archival snapshot</x:v>
      </x:c>
      <x:c r="F15" s="12" t="str">
        <x:v>CTL-09</x:v>
      </x:c>
      <x:c r="G15" s="12" t="str">
        <x:v>Retained candidate; quantity, present pricing and release status follow current Parts sheet.</x:v>
      </x:c>
    </x:row>
    <x:row r="16" ht="44" customHeight="1">
      <x:c r="A16" s="13" t="str">
        <x:v>CTL-10</x:v>
      </x:c>
      <x:c r="B16" s="13" t="str">
        <x:v>Five nets: GND, BOARD_3V3, X, Y, Z</x:v>
      </x:c>
      <x:c r="C16" s="17" t="n">
        <x:v>1</x:v>
      </x:c>
      <x:c r="D16" s="21"/>
      <x:c r="E16" s="13" t="str">
        <x:v>2026-10-14 archival snapshot</x:v>
      </x:c>
      <x:c r="F16" s="13" t="str">
        <x:v>CTL-10</x:v>
      </x:c>
      <x:c r="G16" s="13" t="str">
        <x:v>Retained candidate; quantity, present pricing and release status follow current Parts sheet.</x:v>
      </x:c>
    </x:row>
    <x:row r="17" ht="44" customHeight="1">
      <x:c r="A17" s="12" t="str">
        <x:v>CTL-11</x:v>
      </x:c>
      <x:c r="B17" s="12" t="str">
        <x:v>MFR-25FBF52-1K</x:v>
      </x:c>
      <x:c r="C17" s="16" t="n">
        <x:v>3</x:v>
      </x:c>
      <x:c r="D17" s="20" t="n">
        <x:v>0.063</x:v>
      </x:c>
      <x:c r="E17" s="12" t="str">
        <x:v>2026-10-14 archival snapshot</x:v>
      </x:c>
      <x:c r="F17" s="12" t="str">
        <x:v>R-1K</x:v>
      </x:c>
      <x:c r="G17" s="12" t="str">
        <x:v>Aggregated ADC and27 gate resistors.</x:v>
      </x:c>
    </x:row>
    <x:row r="18" ht="44" customHeight="1">
      <x:c r="A18" s="13" t="str">
        <x:v>CTL-12</x:v>
      </x:c>
      <x:c r="B18" s="13" t="str">
        <x:v>C315C104K5R5TA</x:v>
      </x:c>
      <x:c r="C18" s="17" t="n">
        <x:v>3</x:v>
      </x:c>
      <x:c r="D18" s="21" t="n">
        <x:v>0.731</x:v>
      </x:c>
      <x:c r="E18" s="13" t="str">
        <x:v>2026-10-14 archival snapshot</x:v>
      </x:c>
      <x:c r="F18" s="13" t="str">
        <x:v>C-100N</x:v>
      </x:c>
      <x:c r="G18" s="13" t="str">
        <x:v>Aggregated bypass andADC filters; new total19 conditional minimum.</x:v>
      </x:c>
    </x:row>
    <x:row r="19" ht="44" customHeight="1">
      <x:c r="A19" s="12" t="str">
        <x:v>MCU-01</x:v>
      </x:c>
      <x:c r="B19" s="12" t="str">
        <x:v>W5500-EVB-PICO (SparkFun SKU 19958)</x:v>
      </x:c>
      <x:c r="C19" s="16" t="n">
        <x:v>0</x:v>
      </x:c>
      <x:c r="D19" s="20"/>
      <x:c r="E19" s="12" t="str">
        <x:v>2026-10-14 archival snapshot</x:v>
      </x:c>
      <x:c r="F19" s="12" t="str">
        <x:v>SUPERSEDED / INACTIVE</x:v>
      </x:c>
      <x:c r="G19" s="12" t="str">
        <x:v>Obsolete illumination, alternate part or duplicated/uncommissioned scope. Do not order from this historical line.</x:v>
      </x:c>
    </x:row>
    <x:row r="20" ht="44" customHeight="1">
      <x:c r="A20" s="13" t="str">
        <x:v>MCU-02</x:v>
      </x:c>
      <x:c r="B20" s="13" t="str">
        <x:v>W55RP20-EVB-PICO Rev1.0</x:v>
      </x:c>
      <x:c r="C20" s="17" t="n">
        <x:v>1</x:v>
      </x:c>
      <x:c r="D20" s="21" t="n">
        <x:v>0</x:v>
      </x:c>
      <x:c r="E20" s="13" t="str">
        <x:v>2026-10-14 archival snapshot</x:v>
      </x:c>
      <x:c r="F20" s="13" t="str">
        <x:v>MCU-02</x:v>
      </x:c>
      <x:c r="G20" s="13" t="str">
        <x:v>Retained candidate; quantity, present pricing and release status follow current Parts sheet.</x:v>
      </x:c>
    </x:row>
    <x:row r="21" ht="44" customHeight="1">
      <x:c r="A21" s="12" t="str">
        <x:v>MCU-03</x:v>
      </x:c>
      <x:c r="B21" s="12" t="str">
        <x:v>TBD 2 x 20-way socket strips + matching headers</x:v>
      </x:c>
      <x:c r="C21" s="16" t="n">
        <x:v>1</x:v>
      </x:c>
      <x:c r="D21" s="20"/>
      <x:c r="E21" s="12" t="str">
        <x:v>2026-10-14 archival snapshot</x:v>
      </x:c>
      <x:c r="F21" s="12" t="str">
        <x:v>MCU-03</x:v>
      </x:c>
      <x:c r="G21" s="12" t="str">
        <x:v>Retained candidate; quantity, present pricing and release status follow current Parts sheet.</x:v>
      </x:c>
    </x:row>
    <x:row r="22" ht="44" customHeight="1">
      <x:c r="A22" s="13" t="str">
        <x:v>MCU-04</x:v>
      </x:c>
      <x:c r="B22" s="13" t="str">
        <x:v>USB data cable matched to chosen board</x:v>
      </x:c>
      <x:c r="C22" s="17" t="n">
        <x:v>1</x:v>
      </x:c>
      <x:c r="D22" s="21"/>
      <x:c r="E22" s="13" t="str">
        <x:v>2026-10-14 archival snapshot</x:v>
      </x:c>
      <x:c r="F22" s="13" t="str">
        <x:v>MCU-04</x:v>
      </x:c>
      <x:c r="G22" s="13" t="str">
        <x:v>Retained candidate; quantity, present pricing and release status follow current Parts sheet.</x:v>
      </x:c>
    </x:row>
    <x:row r="23" ht="44" customHeight="1">
      <x:c r="A23" s="12" t="str">
        <x:v>COM-01</x:v>
      </x:c>
      <x:c r="B23" s="12" t="str">
        <x:v>AM26LV31EIDR</x:v>
      </x:c>
      <x:c r="C23" s="16" t="n">
        <x:v>1</x:v>
      </x:c>
      <x:c r="D23" s="20" t="n">
        <x:v>3.78</x:v>
      </x:c>
      <x:c r="E23" s="12" t="str">
        <x:v>2026-10-14 archival snapshot</x:v>
      </x:c>
      <x:c r="F23" s="12" t="str">
        <x:v>COM-01</x:v>
      </x:c>
      <x:c r="G23" s="12" t="str">
        <x:v>Retained candidate; quantity, present pricing and release status follow current Parts sheet.</x:v>
      </x:c>
    </x:row>
    <x:row r="24" ht="44" customHeight="1">
      <x:c r="A24" s="13" t="str">
        <x:v>COM-02</x:v>
      </x:c>
      <x:c r="B24" s="13" t="str">
        <x:v>AM26LV32EIDR</x:v>
      </x:c>
      <x:c r="C24" s="17" t="n">
        <x:v>1</x:v>
      </x:c>
      <x:c r="D24" s="21" t="n">
        <x:v>3.69</x:v>
      </x:c>
      <x:c r="E24" s="13" t="str">
        <x:v>2026-10-14 archival snapshot</x:v>
      </x:c>
      <x:c r="F24" s="13" t="str">
        <x:v>COM-02</x:v>
      </x:c>
      <x:c r="G24" s="13" t="str">
        <x:v>Retained candidate; quantity, present pricing and release status follow current Parts sheet.</x:v>
      </x:c>
    </x:row>
    <x:row r="25" ht="44" customHeight="1">
      <x:c r="A25" s="12" t="str">
        <x:v>COM-03</x:v>
      </x:c>
      <x:c r="B25" s="12" t="str">
        <x:v>RJHSE5080 (drawing RJHSE-5080)</x:v>
      </x:c>
      <x:c r="C25" s="16" t="n">
        <x:v>4</x:v>
      </x:c>
      <x:c r="D25" s="20"/>
      <x:c r="E25" s="12" t="str">
        <x:v>2026-10-14 archival snapshot</x:v>
      </x:c>
      <x:c r="F25" s="12" t="str">
        <x:v>COM-03</x:v>
      </x:c>
      <x:c r="G25" s="12" t="str">
        <x:v>Retained candidate; quantity, present pricing and release status follow current Parts sheet.</x:v>
      </x:c>
    </x:row>
    <x:row r="26" ht="44" customHeight="1">
      <x:c r="A26" s="13" t="str">
        <x:v>COM-04</x:v>
      </x:c>
      <x:c r="B26" s="13" t="str">
        <x:v>Exact cable wiring to measure</x:v>
      </x:c>
      <x:c r="C26" s="17" t="n">
        <x:v>4</x:v>
      </x:c>
      <x:c r="D26" s="21"/>
      <x:c r="E26" s="13" t="str">
        <x:v>2026-10-14 archival snapshot</x:v>
      </x:c>
      <x:c r="F26" s="13" t="str">
        <x:v>COM-04</x:v>
      </x:c>
      <x:c r="G26" s="13" t="str">
        <x:v>Retained candidate; quantity, present pricing and release status follow current Parts sheet.</x:v>
      </x:c>
    </x:row>
    <x:row r="27" ht="44" customHeight="1">
      <x:c r="A27" s="12" t="str">
        <x:v>COM-05</x:v>
      </x:c>
      <x:c r="B27" s="12" t="str">
        <x:v>MFR-25FBF52-100R</x:v>
      </x:c>
      <x:c r="C27" s="16" t="n">
        <x:v>4</x:v>
      </x:c>
      <x:c r="D27" s="20" t="n">
        <x:v>0.15</x:v>
      </x:c>
      <x:c r="E27" s="12" t="str">
        <x:v>2026-10-14 archival snapshot</x:v>
      </x:c>
      <x:c r="F27" s="12" t="str">
        <x:v>COM-05</x:v>
      </x:c>
      <x:c r="G27" s="12" t="str">
        <x:v>Retained candidate; quantity, present pricing and release status follow current Parts sheet.</x:v>
      </x:c>
    </x:row>
    <x:row r="28" ht="44" customHeight="1">
      <x:c r="A28" s="13" t="str">
        <x:v>COM-06</x:v>
      </x:c>
      <x:c r="B28" s="13" t="str">
        <x:v>TBD 560 Ω pair per RX channel, DNP proposal</x:v>
      </x:c>
      <x:c r="C28" s="17"/>
      <x:c r="D28" s="21"/>
      <x:c r="E28" s="13" t="str">
        <x:v>2026-10-14 archival snapshot</x:v>
      </x:c>
      <x:c r="F28" s="13" t="str">
        <x:v>COM-06</x:v>
      </x:c>
      <x:c r="G28" s="13" t="str">
        <x:v>Retained candidate; quantity, present pricing and release status follow current Parts sheet.</x:v>
      </x:c>
    </x:row>
    <x:row r="29" ht="44" customHeight="1">
      <x:c r="A29" s="12" t="str">
        <x:v>COM-07</x:v>
      </x:c>
      <x:c r="B29" s="12" t="str">
        <x:v>TBD matched surge / ESD clamp and series impedance</x:v>
      </x:c>
      <x:c r="C29" s="16"/>
      <x:c r="D29" s="20"/>
      <x:c r="E29" s="12" t="str">
        <x:v>2026-10-14 archival snapshot</x:v>
      </x:c>
      <x:c r="F29" s="12" t="str">
        <x:v>COM-07</x:v>
      </x:c>
      <x:c r="G29" s="12" t="str">
        <x:v>Retained candidate; quantity, present pricing and release status follow current Parts sheet.</x:v>
      </x:c>
    </x:row>
    <x:row r="30" ht="44" customHeight="1">
      <x:c r="A30" s="13" t="str">
        <x:v>COM-08</x:v>
      </x:c>
      <x:c r="B30" s="13" t="str">
        <x:v>TBD common-reference / chassis bonding assembly</x:v>
      </x:c>
      <x:c r="C30" s="17" t="n">
        <x:v>1</x:v>
      </x:c>
      <x:c r="D30" s="21"/>
      <x:c r="E30" s="13" t="str">
        <x:v>2026-10-14 archival snapshot</x:v>
      </x:c>
      <x:c r="F30" s="13" t="str">
        <x:v>COM-08</x:v>
      </x:c>
      <x:c r="G30" s="13" t="str">
        <x:v>Retained candidate; quantity, present pricing and release status follow current Parts sheet.</x:v>
      </x:c>
    </x:row>
    <x:row r="31" ht="44" customHeight="1">
      <x:c r="A31" s="12" t="str">
        <x:v>COM-09</x:v>
      </x:c>
      <x:c r="B31" s="12" t="str">
        <x:v>RS-422 CAMERA 1-4 / NOT LAN / NO PoE</x:v>
      </x:c>
      <x:c r="C31" s="16" t="n">
        <x:v>1</x:v>
      </x:c>
      <x:c r="D31" s="20"/>
      <x:c r="E31" s="12" t="str">
        <x:v>2026-10-14 archival snapshot</x:v>
      </x:c>
      <x:c r="F31" s="12" t="str">
        <x:v>COM-09</x:v>
      </x:c>
      <x:c r="G31" s="12" t="str">
        <x:v>Retained candidate; quantity, present pricing and release status follow current Parts sheet.</x:v>
      </x:c>
    </x:row>
    <x:row r="32" ht="44" customHeight="1">
      <x:c r="A32" s="13" t="str">
        <x:v>NET-01</x:v>
      </x:c>
      <x:c r="B32" s="13" t="str">
        <x:v>Integrated on MCU board, no extra jack</x:v>
      </x:c>
      <x:c r="C32" s="17" t="n">
        <x:v>0</x:v>
      </x:c>
      <x:c r="D32" s="21"/>
      <x:c r="E32" s="13" t="str">
        <x:v>2026-10-14 archival snapshot</x:v>
      </x:c>
      <x:c r="F32" s="13" t="str">
        <x:v>SUPERSEDED / INACTIVE</x:v>
      </x:c>
      <x:c r="G32" s="13" t="str">
        <x:v>Obsolete illumination, alternate part or duplicated/uncommissioned scope. Do not order from this historical line.</x:v>
      </x:c>
    </x:row>
    <x:row r="33" ht="44" customHeight="1">
      <x:c r="A33" s="12" t="str">
        <x:v>NET-02</x:v>
      </x:c>
      <x:c r="B33" s="12" t="str">
        <x:v>TBD Cat5e or Cat6 patch cable</x:v>
      </x:c>
      <x:c r="C33" s="16" t="n">
        <x:v>1</x:v>
      </x:c>
      <x:c r="D33" s="20"/>
      <x:c r="E33" s="12" t="str">
        <x:v>2026-10-14 archival snapshot</x:v>
      </x:c>
      <x:c r="F33" s="12" t="str">
        <x:v>NET-02</x:v>
      </x:c>
      <x:c r="G33" s="12" t="str">
        <x:v>Retained candidate; quantity, present pricing and release status follow current Parts sheet.</x:v>
      </x:c>
    </x:row>
    <x:row r="34" ht="44" customHeight="1">
      <x:c r="A34" s="13" t="str">
        <x:v>NET-03</x:v>
      </x:c>
      <x:c r="B34" s="13" t="str">
        <x:v>Existing network switch unless a shortage is verified</x:v>
      </x:c>
      <x:c r="C34" s="17" t="n">
        <x:v>0</x:v>
      </x:c>
      <x:c r="D34" s="21"/>
      <x:c r="E34" s="13" t="str">
        <x:v>2026-10-14 archival snapshot</x:v>
      </x:c>
      <x:c r="F34" s="13" t="str">
        <x:v>SUPERSEDED / INACTIVE</x:v>
      </x:c>
      <x:c r="G34" s="13" t="str">
        <x:v>Obsolete illumination, alternate part or duplicated/uncommissioned scope. Do not order from this historical line.</x:v>
      </x:c>
    </x:row>
    <x:row r="35" ht="44" customHeight="1">
      <x:c r="A35" s="12" t="str">
        <x:v>NET-04</x:v>
      </x:c>
      <x:c r="B35" s="12" t="str">
        <x:v>Per-model protocol/profile implementation</x:v>
      </x:c>
      <x:c r="C35" s="16" t="n">
        <x:v>0</x:v>
      </x:c>
      <x:c r="D35" s="20"/>
      <x:c r="E35" s="12" t="str">
        <x:v>2026-10-14 archival snapshot</x:v>
      </x:c>
      <x:c r="F35" s="12" t="str">
        <x:v>SUPERSEDED / INACTIVE</x:v>
      </x:c>
      <x:c r="G35" s="12" t="str">
        <x:v>Obsolete illumination, alternate part or duplicated/uncommissioned scope. Do not order from this historical line.</x:v>
      </x:c>
    </x:row>
    <x:row r="36" ht="44" customHeight="1">
      <x:c r="A36" s="13" t="str">
        <x:v>UI-01</x:v>
      </x:c>
      <x:c r="B36" s="13" t="str">
        <x:v>NX4024T032_011, actual revision to inspect</x:v>
      </x:c>
      <x:c r="C36" s="17" t="n">
        <x:v>1</x:v>
      </x:c>
      <x:c r="D36" s="21"/>
      <x:c r="E36" s="13" t="str">
        <x:v>2026-10-14 archival snapshot</x:v>
      </x:c>
      <x:c r="F36" s="13" t="str">
        <x:v>UI-01</x:v>
      </x:c>
      <x:c r="G36" s="13" t="str">
        <x:v>Retained candidate; quantity, present pricing and release status follow current Parts sheet.</x:v>
      </x:c>
    </x:row>
    <x:row r="37" ht="44" customHeight="1">
      <x:c r="A37" s="12" t="str">
        <x:v>UI-02</x:v>
      </x:c>
      <x:c r="B37" s="12" t="str">
        <x:v>TBD 4-circuit locking power/UART connection</x:v>
      </x:c>
      <x:c r="C37" s="16" t="n">
        <x:v>1</x:v>
      </x:c>
      <x:c r="D37" s="20"/>
      <x:c r="E37" s="12" t="str">
        <x:v>2026-10-14 archival snapshot</x:v>
      </x:c>
      <x:c r="F37" s="12" t="str">
        <x:v>UI-02</x:v>
      </x:c>
      <x:c r="G37" s="12" t="str">
        <x:v>Retained candidate; quantity, present pricing and release status follow current Parts sheet.</x:v>
      </x:c>
    </x:row>
    <x:row r="38" ht="44" customHeight="1">
      <x:c r="A38" s="13" t="str">
        <x:v>UI-03</x:v>
      </x:c>
      <x:c r="B38" s="13" t="str">
        <x:v>SN74LVC1G17DBVR + conditional SN74AHCT1G125DBVR</x:v>
      </x:c>
      <x:c r="C38" s="17" t="n">
        <x:v>1</x:v>
      </x:c>
      <x:c r="D38" s="21"/>
      <x:c r="E38" s="13" t="str">
        <x:v>2026-10-14 archival snapshot</x:v>
      </x:c>
      <x:c r="F38" s="13" t="str">
        <x:v>UI-03</x:v>
      </x:c>
      <x:c r="G38" s="13" t="str">
        <x:v>Retained candidate; quantity, present pricing and release status follow current Parts sheet.</x:v>
      </x:c>
    </x:row>
    <x:row r="39" ht="44" customHeight="1">
      <x:c r="A39" s="12" t="str">
        <x:v>UI-04</x:v>
      </x:c>
      <x:c r="B39" s="12" t="str">
        <x:v>Compatible microSD card or reviewed serial programming path</x:v>
      </x:c>
      <x:c r="C39" s="16" t="n">
        <x:v>0</x:v>
      </x:c>
      <x:c r="D39" s="20"/>
      <x:c r="E39" s="12" t="str">
        <x:v>2026-10-14 archival snapshot</x:v>
      </x:c>
      <x:c r="F39" s="12" t="str">
        <x:v>SUPERSEDED / INACTIVE</x:v>
      </x:c>
      <x:c r="G39" s="12" t="str">
        <x:v>Obsolete illumination, alternate part or duplicated/uncommissioned scope. Do not order from this historical line.</x:v>
      </x:c>
    </x:row>
    <x:row r="40" ht="44" customHeight="1">
      <x:c r="A40" s="13" t="str">
        <x:v>IN-01</x:v>
      </x:c>
      <x:c r="B40" s="13" t="str">
        <x:v>CD74HC165E</x:v>
      </x:c>
      <x:c r="C40" s="17" t="n">
        <x:v>6</x:v>
      </x:c>
      <x:c r="D40" s="21" t="n">
        <x:v>1.87</x:v>
      </x:c>
      <x:c r="E40" s="13" t="str">
        <x:v>2026-10-14 archival snapshot</x:v>
      </x:c>
      <x:c r="F40" s="13" t="str">
        <x:v>IN-01</x:v>
      </x:c>
      <x:c r="G40" s="13" t="str">
        <x:v>Retained candidate; quantity, present pricing and release status follow current Parts sheet.</x:v>
      </x:c>
    </x:row>
    <x:row r="41" ht="44" customHeight="1">
      <x:c r="A41" s="12" t="str">
        <x:v>IN-02</x:v>
      </x:c>
      <x:c r="B41" s="12" t="str">
        <x:v>SN74HC595N</x:v>
      </x:c>
      <x:c r="C41" s="16" t="n">
        <x:v>2</x:v>
      </x:c>
      <x:c r="D41" s="20" t="n">
        <x:v>3.15</x:v>
      </x:c>
      <x:c r="E41" s="12" t="str">
        <x:v>2026-10-14 archival snapshot</x:v>
      </x:c>
      <x:c r="F41" s="12" t="str">
        <x:v>IN-02</x:v>
      </x:c>
      <x:c r="G41" s="12" t="str">
        <x:v>Retained candidate; quantity, present pricing and release status follow current Parts sheet.</x:v>
      </x:c>
    </x:row>
    <x:row r="42" ht="44" customHeight="1">
      <x:c r="A42" s="13" t="str">
        <x:v>IN-03</x:v>
      </x:c>
      <x:c r="B42" s="13" t="str">
        <x:v>MFR-25FBF52-10K</x:v>
      </x:c>
      <x:c r="C42" s="17" t="n">
        <x:v>39</x:v>
      </x:c>
      <x:c r="D42" s="21" t="n">
        <x:v>0.0456</x:v>
      </x:c>
      <x:c r="E42" s="13" t="str">
        <x:v>2026-10-14 archival snapshot</x:v>
      </x:c>
      <x:c r="F42" s="13" t="str">
        <x:v>R-10K</x:v>
      </x:c>
      <x:c r="G42" s="13" t="str">
        <x:v>Aggregated46 contact/phase+12 filter+9 boot resistors.</x:v>
      </x:c>
    </x:row>
    <x:row r="43" ht="44" customHeight="1">
      <x:c r="A43" s="12" t="str">
        <x:v>IN-04</x:v>
      </x:c>
      <x:c r="B43" s="12" t="str">
        <x:v>MFR-25FBF52-1K5</x:v>
      </x:c>
      <x:c r="C43" s="16" t="n">
        <x:v>10</x:v>
      </x:c>
      <x:c r="D43" s="20" t="n">
        <x:v>0.063</x:v>
      </x:c>
      <x:c r="E43" s="12" t="str">
        <x:v>2026-10-14 archival snapshot</x:v>
      </x:c>
      <x:c r="F43" s="12" t="str">
        <x:v>IN-04</x:v>
      </x:c>
      <x:c r="G43" s="12" t="str">
        <x:v>Retained candidate; quantity, present pricing and release status follow current Parts sheet.</x:v>
      </x:c>
    </x:row>
    <x:row r="44" ht="44" customHeight="1">
      <x:c r="A44" s="13" t="str">
        <x:v>IN-05</x:v>
      </x:c>
      <x:c r="B44" s="13" t="str">
        <x:v>AO3400A</x:v>
      </x:c>
      <x:c r="C44" s="17" t="n">
        <x:v>12</x:v>
      </x:c>
      <x:c r="D44" s="21" t="n">
        <x:v>0.514</x:v>
      </x:c>
      <x:c r="E44" s="13" t="str">
        <x:v>2026-10-14 archival snapshot</x:v>
      </x:c>
      <x:c r="F44" s="13" t="str">
        <x:v>IN-05</x:v>
      </x:c>
      <x:c r="G44" s="13" t="str">
        <x:v>Retained candidate; quantity, present pricing and release status follow current Parts sheet.</x:v>
      </x:c>
    </x:row>
    <x:row r="45" ht="44" customHeight="1">
      <x:c r="A45" s="12" t="str">
        <x:v>IN-06</x:v>
      </x:c>
      <x:c r="B45" s="12" t="str">
        <x:v>MFR-25FBF52-10K</x:v>
      </x:c>
      <x:c r="C45" s="16" t="n">
        <x:v>12</x:v>
      </x:c>
      <x:c r="D45" s="20" t="n">
        <x:v>0.0456</x:v>
      </x:c>
      <x:c r="E45" s="12" t="str">
        <x:v>2026-10-14 archival snapshot</x:v>
      </x:c>
      <x:c r="F45" s="12" t="str">
        <x:v>R-10K</x:v>
      </x:c>
      <x:c r="G45" s="12" t="str">
        <x:v>Aggregated46 contact/phase+12 filter+9 boot resistors.</x:v>
      </x:c>
    </x:row>
    <x:row r="46" ht="44" customHeight="1">
      <x:c r="A46" s="13" t="str">
        <x:v>IN-07</x:v>
      </x:c>
      <x:c r="B46" s="13" t="str">
        <x:v>No extra power/fault LED selected</x:v>
      </x:c>
      <x:c r="C46" s="17" t="n">
        <x:v>0</x:v>
      </x:c>
      <x:c r="D46" s="21"/>
      <x:c r="E46" s="13" t="str">
        <x:v>2026-10-14 archival snapshot</x:v>
      </x:c>
      <x:c r="F46" s="13" t="str">
        <x:v>IN-07</x:v>
      </x:c>
      <x:c r="G46" s="13" t="str">
        <x:v>Retained candidate; quantity, present pricing and release status follow current Parts sheet.</x:v>
      </x:c>
    </x:row>
    <x:row r="47" ht="44" customHeight="1">
      <x:c r="A47" s="12" t="str">
        <x:v>PWR-01</x:v>
      </x:c>
      <x:c r="B47" s="12" t="str">
        <x:v>GST18U05-P1J</x:v>
      </x:c>
      <x:c r="C47" s="16" t="n">
        <x:v>1</x:v>
      </x:c>
      <x:c r="D47" s="20" t="n">
        <x:v>21.12</x:v>
      </x:c>
      <x:c r="E47" s="12" t="str">
        <x:v>2026-10-14 archival snapshot</x:v>
      </x:c>
      <x:c r="F47" s="12" t="str">
        <x:v>PWR-01</x:v>
      </x:c>
      <x:c r="G47" s="12" t="str">
        <x:v>Retained candidate; quantity, present pricing and release status follow current Parts sheet.</x:v>
      </x:c>
    </x:row>
    <x:row r="48" ht="44" customHeight="1">
      <x:c r="A48" s="13" t="str">
        <x:v>PWR-02</x:v>
      </x:c>
      <x:c r="B48" s="13" t="str">
        <x:v>TBD panel jack matching 5.5 / 2.1 mm centre-positive plug</x:v>
      </x:c>
      <x:c r="C48" s="17" t="n">
        <x:v>1</x:v>
      </x:c>
      <x:c r="D48" s="21"/>
      <x:c r="E48" s="13" t="str">
        <x:v>2026-10-14 archival snapshot</x:v>
      </x:c>
      <x:c r="F48" s="13" t="str">
        <x:v>PWR-02</x:v>
      </x:c>
      <x:c r="G48" s="13" t="str">
        <x:v>Retained candidate; quantity, present pricing and release status follow current Parts sheet.</x:v>
      </x:c>
    </x:row>
    <x:row r="49" ht="44" customHeight="1">
      <x:c r="A49" s="12" t="str">
        <x:v>PWR-03</x:v>
      </x:c>
      <x:c r="B49" s="12" t="str">
        <x:v>TBD fuse + accessible holder, rating from measured load</x:v>
      </x:c>
      <x:c r="C49" s="16" t="n">
        <x:v>1</x:v>
      </x:c>
      <x:c r="D49" s="20"/>
      <x:c r="E49" s="12" t="str">
        <x:v>2026-10-14 archival snapshot</x:v>
      </x:c>
      <x:c r="F49" s="12" t="str">
        <x:v>PWR-03</x:v>
      </x:c>
      <x:c r="G49" s="12" t="str">
        <x:v>Retained candidate; quantity, present pricing and release status follow current Parts sheet.</x:v>
      </x:c>
    </x:row>
    <x:row r="50" ht="44" customHeight="1">
      <x:c r="A50" s="13" t="str">
        <x:v>PWR-04</x:v>
      </x:c>
      <x:c r="B50" s="13" t="str">
        <x:v>LM66100DCKR circuit, exact device count TBD</x:v>
      </x:c>
      <x:c r="C50" s="17"/>
      <x:c r="D50" s="21"/>
      <x:c r="E50" s="13" t="str">
        <x:v>2026-10-14 archival snapshot</x:v>
      </x:c>
      <x:c r="F50" s="13" t="str">
        <x:v>PWR-04</x:v>
      </x:c>
      <x:c r="G50" s="13" t="str">
        <x:v>Retained candidate; quantity, present pricing and release status follow current Parts sheet.</x:v>
      </x:c>
    </x:row>
    <x:row r="51" ht="44" customHeight="1">
      <x:c r="A51" s="12" t="str">
        <x:v>PWR-05</x:v>
      </x:c>
      <x:c r="B51" s="12" t="str">
        <x:v>MCP1700-3302E/TO, candidate</x:v>
      </x:c>
      <x:c r="C51" s="16" t="n">
        <x:v>1</x:v>
      </x:c>
      <x:c r="D51" s="20"/>
      <x:c r="E51" s="12" t="str">
        <x:v>2026-10-14 archival snapshot</x:v>
      </x:c>
      <x:c r="F51" s="12" t="str">
        <x:v>PWR-05</x:v>
      </x:c>
      <x:c r="G51" s="12" t="str">
        <x:v>Retained candidate; quantity, present pricing and release status follow current Parts sheet.</x:v>
      </x:c>
    </x:row>
    <x:row r="52" ht="44" customHeight="1">
      <x:c r="A52" s="13" t="str">
        <x:v>PWR-06</x:v>
      </x:c>
      <x:c r="B52" s="13" t="str">
        <x:v>ECA-1CM220, 22 µF / 16 V candidate</x:v>
      </x:c>
      <x:c r="C52" s="17" t="n">
        <x:v>2</x:v>
      </x:c>
      <x:c r="D52" s="21"/>
      <x:c r="E52" s="13" t="str">
        <x:v>2026-10-14 archival snapshot</x:v>
      </x:c>
      <x:c r="F52" s="13" t="str">
        <x:v>PWR-06</x:v>
      </x:c>
      <x:c r="G52" s="13" t="str">
        <x:v>Retained candidate; quantity, present pricing and release status follow current Parts sheet.</x:v>
      </x:c>
    </x:row>
    <x:row r="53" ht="44" customHeight="1">
      <x:c r="A53" s="12" t="str">
        <x:v>PWR-07</x:v>
      </x:c>
      <x:c r="B53" s="12" t="str">
        <x:v>C315C104K5R5TA</x:v>
      </x:c>
      <x:c r="C53" s="16" t="n">
        <x:v>14</x:v>
      </x:c>
      <x:c r="D53" s="20" t="n">
        <x:v>0.731</x:v>
      </x:c>
      <x:c r="E53" s="12" t="str">
        <x:v>2026-10-14 archival snapshot</x:v>
      </x:c>
      <x:c r="F53" s="12" t="str">
        <x:v>C-100N</x:v>
      </x:c>
      <x:c r="G53" s="12" t="str">
        <x:v>Aggregated bypass andADC filters; new total19 conditional minimum.</x:v>
      </x:c>
    </x:row>
    <x:row r="54" ht="44" customHeight="1">
      <x:c r="A54" s="13" t="str">
        <x:v>PWR-08</x:v>
      </x:c>
      <x:c r="B54" s="13" t="str">
        <x:v>TBD display branch fuse / current-limited switch</x:v>
      </x:c>
      <x:c r="C54" s="17" t="n">
        <x:v>1</x:v>
      </x:c>
      <x:c r="D54" s="21"/>
      <x:c r="E54" s="13" t="str">
        <x:v>2026-10-14 archival snapshot</x:v>
      </x:c>
      <x:c r="F54" s="13" t="str">
        <x:v>PWR-08</x:v>
      </x:c>
      <x:c r="G54" s="13" t="str">
        <x:v>Retained candidate; quantity, present pricing and release status follow current Parts sheet.</x:v>
      </x:c>
    </x:row>
    <x:row r="55" ht="44" customHeight="1">
      <x:c r="A55" s="12" t="str">
        <x:v>PWR-09</x:v>
      </x:c>
      <x:c r="B55" s="12" t="str">
        <x:v>MF-R050, earlier candidate only</x:v>
      </x:c>
      <x:c r="C55" s="16" t="n">
        <x:v>0</x:v>
      </x:c>
      <x:c r="D55" s="20"/>
      <x:c r="E55" s="12" t="str">
        <x:v>2026-10-14 archival snapshot</x:v>
      </x:c>
      <x:c r="F55" s="12" t="str">
        <x:v>SUPERSEDED / INACTIVE</x:v>
      </x:c>
      <x:c r="G55" s="12" t="str">
        <x:v>Obsolete illumination, alternate part or duplicated/uncommissioned scope. Do not order from this historical line.</x:v>
      </x:c>
    </x:row>
    <x:row r="56" ht="44" customHeight="1">
      <x:c r="A56" s="13" t="str">
        <x:v>PCB-01</x:v>
      </x:c>
      <x:c r="B56" s="13" t="str">
        <x:v>Custom R6.1 MAIN; outline and mounting pattern owner-defined</x:v>
      </x:c>
      <x:c r="C56" s="17" t="n">
        <x:v>1</x:v>
      </x:c>
      <x:c r="D56" s="21"/>
      <x:c r="E56" s="13" t="str">
        <x:v>2026-10-14 archival snapshot</x:v>
      </x:c>
      <x:c r="F56" s="13" t="str">
        <x:v>PCB-01</x:v>
      </x:c>
      <x:c r="G56" s="13" t="str">
        <x:v>Retained candidate; quantity, present pricing and release status follow current Parts sheet.</x:v>
      </x:c>
    </x:row>
    <x:row r="57" ht="44" customHeight="1">
      <x:c r="A57" s="12" t="str">
        <x:v>PCB-02</x:v>
      </x:c>
      <x:c r="B57" s="12" t="str">
        <x:v>Custom R6.1 KEY-L; outline and mounting pattern owner-defined</x:v>
      </x:c>
      <x:c r="C57" s="16" t="n">
        <x:v>1</x:v>
      </x:c>
      <x:c r="D57" s="20"/>
      <x:c r="E57" s="12" t="str">
        <x:v>2026-10-14 archival snapshot</x:v>
      </x:c>
      <x:c r="F57" s="12" t="str">
        <x:v>PCB-02</x:v>
      </x:c>
      <x:c r="G57" s="12" t="str">
        <x:v>Retained candidate; quantity, present pricing and release status follow current Parts sheet.</x:v>
      </x:c>
    </x:row>
    <x:row r="58" ht="44" customHeight="1">
      <x:c r="A58" s="13" t="str">
        <x:v>PCB-03</x:v>
      </x:c>
      <x:c r="B58" s="13" t="str">
        <x:v>Custom R6.1 KEY-R; outline and mounting pattern owner-defined</x:v>
      </x:c>
      <x:c r="C58" s="17" t="n">
        <x:v>1</x:v>
      </x:c>
      <x:c r="D58" s="21"/>
      <x:c r="E58" s="13" t="str">
        <x:v>2026-10-14 archival snapshot</x:v>
      </x:c>
      <x:c r="F58" s="13" t="str">
        <x:v>PCB-03</x:v>
      </x:c>
      <x:c r="G58" s="13" t="str">
        <x:v>Retained candidate; quantity, present pricing and release status follow current Parts sheet.</x:v>
      </x:c>
    </x:row>
    <x:row r="59" ht="44" customHeight="1">
      <x:c r="A59" s="12" t="str">
        <x:v>PCB-04</x:v>
      </x:c>
      <x:c r="B59" s="12" t="str">
        <x:v>Merged into PCB-01; separate PCB not ordered</x:v>
      </x:c>
      <x:c r="C59" s="16" t="n">
        <x:v>0</x:v>
      </x:c>
      <x:c r="D59" s="20"/>
      <x:c r="E59" s="12" t="str">
        <x:v>2026-10-14 archival snapshot</x:v>
      </x:c>
      <x:c r="F59" s="12" t="str">
        <x:v>SUPERSEDED / INACTIVE</x:v>
      </x:c>
      <x:c r="G59" s="12" t="str">
        <x:v>Obsolete illumination, alternate part or duplicated/uncommissioned scope. Do not order from this historical line.</x:v>
      </x:c>
    </x:row>
    <x:row r="60" ht="44" customHeight="1">
      <x:c r="A60" s="13" t="str">
        <x:v>PCB-05</x:v>
      </x:c>
      <x:c r="B60" s="13" t="str">
        <x:v>JST XH vertical BnB-XH-A + XHP-n; ASXHSXH22K305 leads</x:v>
      </x:c>
      <x:c r="C60" s="17" t="n">
        <x:v>11</x:v>
      </x:c>
      <x:c r="D60" s="21"/>
      <x:c r="E60" s="13" t="str">
        <x:v>2026-10-14 archival snapshot</x:v>
      </x:c>
      <x:c r="F60" s="13" t="str">
        <x:v>XH-*</x:v>
      </x:c>
      <x:c r="G60" s="13" t="str">
        <x:v>Summary only; component rows counted once. Wiring quantity HOLD.</x:v>
      </x:c>
    </x:row>
    <x:row r="61" ht="44" customHeight="1">
      <x:c r="A61" s="12" t="str">
        <x:v>PCB-06</x:v>
      </x:c>
      <x:c r="B61" s="12" t="str">
        <x:v>TBD stranded copper wire, gauge and length by net</x:v>
      </x:c>
      <x:c r="C61" s="16"/>
      <x:c r="D61" s="20"/>
      <x:c r="E61" s="12" t="str">
        <x:v>2026-10-14 archival snapshot</x:v>
      </x:c>
      <x:c r="F61" s="12" t="str">
        <x:v>PCB-06</x:v>
      </x:c>
      <x:c r="G61" s="12" t="str">
        <x:v>Retained candidate; quantity, present pricing and release status follow current Parts sheet.</x:v>
      </x:c>
    </x:row>
    <x:row r="62" ht="44" customHeight="1">
      <x:c r="A62" s="13" t="str">
        <x:v>PCB-07</x:v>
      </x:c>
      <x:c r="B62" s="13" t="str">
        <x:v>TBD M3 insulating / metal standoffs by assembly</x:v>
      </x:c>
      <x:c r="C62" s="17" t="n">
        <x:v>12</x:v>
      </x:c>
      <x:c r="D62" s="21"/>
      <x:c r="E62" s="13" t="str">
        <x:v>2026-10-14 archival snapshot</x:v>
      </x:c>
      <x:c r="F62" s="13" t="str">
        <x:v>PCB-07</x:v>
      </x:c>
      <x:c r="G62" s="13" t="str">
        <x:v>Retained candidate; quantity, present pricing and release status follow current Parts sheet.</x:v>
      </x:c>
    </x:row>
    <x:row r="63" ht="44" customHeight="1">
      <x:c r="A63" s="12" t="str">
        <x:v>PCB-08</x:v>
      </x:c>
      <x:c r="B63" s="12" t="str">
        <x:v>1207, one 3-pack</x:v>
      </x:c>
      <x:c r="C63" s="16" t="n">
        <x:v>1</x:v>
      </x:c>
      <x:c r="D63" s="20"/>
      <x:c r="E63" s="12" t="str">
        <x:v>2026-10-14 archival snapshot</x:v>
      </x:c>
      <x:c r="F63" s="12" t="str">
        <x:v>PCB-08</x:v>
      </x:c>
      <x:c r="G63" s="12" t="str">
        <x:v>Retained candidate; quantity, present pricing and release status follow current Parts sheet.</x:v>
      </x:c>
    </x:row>
    <x:row r="64" ht="44" customHeight="1">
      <x:c r="A64" s="13" t="str">
        <x:v>PCB-09</x:v>
      </x:c>
      <x:c r="B64" s="13" t="str">
        <x:v>Inventory check first</x:v>
      </x:c>
      <x:c r="C64" s="17" t="n">
        <x:v>1</x:v>
      </x:c>
      <x:c r="D64" s="21"/>
      <x:c r="E64" s="13" t="str">
        <x:v>2026-10-14 archival snapshot</x:v>
      </x:c>
      <x:c r="F64" s="13" t="str">
        <x:v>PCB-09</x:v>
      </x:c>
      <x:c r="G64" s="13" t="str">
        <x:v>Retained candidate; quantity, present pricing and release status follow current Parts sheet.</x:v>
      </x:c>
    </x:row>
    <x:row r="65" ht="44" customHeight="1">
      <x:c r="A65" s="12" t="str">
        <x:v>CASE-01</x:v>
      </x:c>
      <x:c r="B65" s="12" t="str">
        <x:v>Custom 5052-H32 approximately 1.63 mm assembly</x:v>
      </x:c>
      <x:c r="C65" s="16" t="n">
        <x:v>1</x:v>
      </x:c>
      <x:c r="D65" s="20"/>
      <x:c r="E65" s="12" t="str">
        <x:v>2026-10-14 archival snapshot</x:v>
      </x:c>
      <x:c r="F65" s="12" t="str">
        <x:v>CASE-01</x:v>
      </x:c>
      <x:c r="G65" s="12" t="str">
        <x:v>Retained candidate; quantity, present pricing and release status follow current Parts sheet.</x:v>
      </x:c>
    </x:row>
    <x:row r="66" ht="44" customHeight="1">
      <x:c r="A66" s="13" t="str">
        <x:v>CASE-02</x:v>
      </x:c>
      <x:c r="B66" s="13" t="str">
        <x:v>Stock powder coat and contrasting legends</x:v>
      </x:c>
      <x:c r="C66" s="17" t="n">
        <x:v>1</x:v>
      </x:c>
      <x:c r="D66" s="21"/>
      <x:c r="E66" s="13" t="str">
        <x:v>2026-10-14 archival snapshot</x:v>
      </x:c>
      <x:c r="F66" s="13" t="str">
        <x:v>CASE-02</x:v>
      </x:c>
      <x:c r="G66" s="13" t="str">
        <x:v>Retained candidate; quantity, present pricing and release status follow current Parts sheet.</x:v>
      </x:c>
    </x:row>
    <x:row r="67" ht="44" customHeight="1">
      <x:c r="A67" s="12" t="str">
        <x:v>CASE-03</x:v>
      </x:c>
      <x:c r="B67" s="12" t="str">
        <x:v>TBD screw-mounted or proven adhesive rubber feet</x:v>
      </x:c>
      <x:c r="C67" s="16" t="n">
        <x:v>4</x:v>
      </x:c>
      <x:c r="D67" s="20"/>
      <x:c r="E67" s="12" t="str">
        <x:v>2026-10-14 archival snapshot</x:v>
      </x:c>
      <x:c r="F67" s="12" t="str">
        <x:v>CASE-03</x:v>
      </x:c>
      <x:c r="G67" s="12" t="str">
        <x:v>Retained candidate; quantity, present pricing and release status follow current Parts sheet.</x:v>
      </x:c>
    </x:row>
    <x:row r="68" ht="44" customHeight="1">
      <x:c r="A68" s="13" t="str">
        <x:v>CASE-04</x:v>
      </x:c>
      <x:c r="B68" s="13" t="str">
        <x:v>TBD verified bezel / guides / brackets</x:v>
      </x:c>
      <x:c r="C68" s="17"/>
      <x:c r="D68" s="21"/>
      <x:c r="E68" s="13" t="str">
        <x:v>2026-10-14 archival snapshot</x:v>
      </x:c>
      <x:c r="F68" s="13" t="str">
        <x:v>CASE-04</x:v>
      </x:c>
      <x:c r="G68" s="13" t="str">
        <x:v>Retained candidate; quantity, present pricing and release status follow current Parts sheet.</x:v>
      </x:c>
    </x:row>
    <x:row r="69" ht="44" customHeight="1">
      <x:c r="A69" s="12" t="str">
        <x:v>CASE-05</x:v>
      </x:c>
      <x:c r="B69" s="12" t="str">
        <x:v>TBD joystick backing plate if deflection requires it</x:v>
      </x:c>
      <x:c r="C69" s="16" t="n">
        <x:v>0</x:v>
      </x:c>
      <x:c r="D69" s="20"/>
      <x:c r="E69" s="12" t="str">
        <x:v>2026-10-14 archival snapshot</x:v>
      </x:c>
      <x:c r="F69" s="12" t="str">
        <x:v>CASE-05</x:v>
      </x:c>
      <x:c r="G69" s="12" t="str">
        <x:v>Retained candidate; quantity, present pricing and release status follow current Parts sheet.</x:v>
      </x:c>
    </x:row>
    <x:row r="70" ht="44" customHeight="1">
      <x:c r="A70" s="13" t="str">
        <x:v>CASE-06</x:v>
      </x:c>
      <x:c r="B70" s="13" t="str">
        <x:v>TBD screws, captive nuts / threaded inserts, washers</x:v>
      </x:c>
      <x:c r="C70" s="17"/>
      <x:c r="D70" s="21"/>
      <x:c r="E70" s="13" t="str">
        <x:v>2026-10-14 archival snapshot</x:v>
      </x:c>
      <x:c r="F70" s="13" t="str">
        <x:v>CASE-06</x:v>
      </x:c>
      <x:c r="G70" s="13" t="str">
        <x:v>Retained candidate; quantity, present pricing and release status follow current Parts sheet.</x:v>
      </x:c>
    </x:row>
    <x:row r="71" ht="44" customHeight="1">
      <x:c r="A71" s="12" t="str">
        <x:v>TEST-01</x:v>
      </x:c>
      <x:c r="B71" s="12" t="str">
        <x:v>TBD known-good full-duplex USB-to-RS422 adapter</x:v>
      </x:c>
      <x:c r="C71" s="16" t="n">
        <x:v>1</x:v>
      </x:c>
      <x:c r="D71" s="20"/>
      <x:c r="E71" s="12" t="str">
        <x:v>2026-10-14 archival snapshot</x:v>
      </x:c>
      <x:c r="F71" s="12" t="str">
        <x:v>TEST-01</x:v>
      </x:c>
      <x:c r="G71" s="12" t="str">
        <x:v>Retained candidate; quantity, present pricing and release status follow current Parts sheet.</x:v>
      </x:c>
    </x:row>
    <x:row r="72" ht="44" customHeight="1">
      <x:c r="A72" s="13" t="str">
        <x:v>TEST-02</x:v>
      </x:c>
      <x:c r="B72" s="13" t="str">
        <x:v>TBD 8P8C bench breakout without magnetics</x:v>
      </x:c>
      <x:c r="C72" s="17" t="n">
        <x:v>1</x:v>
      </x:c>
      <x:c r="D72" s="21"/>
      <x:c r="E72" s="13" t="str">
        <x:v>2026-10-14 archival snapshot</x:v>
      </x:c>
      <x:c r="F72" s="13" t="str">
        <x:v>TEST-02</x:v>
      </x:c>
      <x:c r="G72" s="13" t="str">
        <x:v>Retained candidate; quantity, present pricing and release status follow current Parts sheet.</x:v>
      </x:c>
    </x:row>
    <x:row r="73" ht="44" customHeight="1">
      <x:c r="A73" s="12" t="str">
        <x:v>TEST-03</x:v>
      </x:c>
      <x:c r="B73" s="12" t="str">
        <x:v>Button, joystick, encoder, display and rear connector fit coupons</x:v>
      </x:c>
      <x:c r="C73" s="16" t="n">
        <x:v>1</x:v>
      </x:c>
      <x:c r="D73" s="20"/>
      <x:c r="E73" s="12" t="str">
        <x:v>2026-10-14 archival snapshot</x:v>
      </x:c>
      <x:c r="F73" s="12" t="str">
        <x:v>TEST-03</x:v>
      </x:c>
      <x:c r="G73" s="12" t="str">
        <x:v>Retained candidate; quantity, present pricing and release status follow current Parts sheet.</x:v>
      </x:c>
    </x:row>
    <x:row r="74" ht="44" customHeight="1">
      <x:c r="A74" s="13" t="str">
        <x:v>TEST-04</x:v>
      </x:c>
      <x:c r="B74" s="13" t="str">
        <x:v>Owned multimeter plus borrowed supply / scope / logic analyzer</x:v>
      </x:c>
      <x:c r="C74" s="17" t="n">
        <x:v>0</x:v>
      </x:c>
      <x:c r="D74" s="21"/>
      <x:c r="E74" s="13" t="str">
        <x:v>2026-10-14 archival snapshot</x:v>
      </x:c>
      <x:c r="F74" s="13" t="str">
        <x:v>SUPERSEDED / INACTIVE</x:v>
      </x:c>
      <x:c r="G74" s="13" t="str">
        <x:v>Obsolete illumination, alternate part or duplicated/uncommissioned scope. Do not order from this historical line.</x:v>
      </x:c>
    </x:row>
    <x:row r="75" ht="44" customHeight="1">
      <x:c r="A75" s="12" t="str">
        <x:v>TEST-05</x:v>
      </x:c>
      <x:c r="B75" s="12" t="str">
        <x:v>RP2040 firmware and supervised validation</x:v>
      </x:c>
      <x:c r="C75" s="16" t="n">
        <x:v>0</x:v>
      </x:c>
      <x:c r="D75" s="20"/>
      <x:c r="E75" s="12" t="str">
        <x:v>2026-10-14 archival snapshot</x:v>
      </x:c>
      <x:c r="F75" s="12" t="str">
        <x:v>SUPERSEDED / INACTIVE</x:v>
      </x:c>
      <x:c r="G75" s="12" t="str">
        <x:v>Obsolete illumination, alternate part or duplicated/uncommissioned scope. Do not order from this historical line.</x:v>
      </x:c>
    </x:row>
    <x:row r="76" ht="44" customHeight="1">
      <x:c r="A76" s="13" t="str">
        <x:v>ALT-ENC</x:v>
      </x:c>
      <x:c r="B76" s="13" t="str">
        <x:v>PEC11R-4020F-N0024</x:v>
      </x:c>
      <x:c r="C76" s="17" t="n">
        <x:v>0</x:v>
      </x:c>
      <x:c r="D76" s="21"/>
      <x:c r="E76" s="13" t="str">
        <x:v>2026-10-14 archival snapshot</x:v>
      </x:c>
      <x:c r="F76" s="13" t="str">
        <x:v>SUPERSEDED / INACTIVE</x:v>
      </x:c>
      <x:c r="G76" s="13" t="str">
        <x:v>Obsolete illumination, alternate part or duplicated/uncommissioned scope. Do not order from this historical line.</x:v>
      </x:c>
    </x:row>
    <x:row r="77" ht="44" customHeight="1">
      <x:c r="A77" s="12" t="str">
        <x:v>IN-08</x:v>
      </x:c>
      <x:c r="B77" s="12" t="str">
        <x:v>SN74HC14N</x:v>
      </x:c>
      <x:c r="C77" s="16" t="n">
        <x:v>2</x:v>
      </x:c>
      <x:c r="D77" s="20" t="n">
        <x:v>1.84</x:v>
      </x:c>
      <x:c r="E77" s="12" t="str">
        <x:v>2026-10-14 archival snapshot</x:v>
      </x:c>
      <x:c r="F77" s="12" t="str">
        <x:v>IN-08</x:v>
      </x:c>
      <x:c r="G77" s="12" t="str">
        <x:v>Retained candidate; quantity, present pricing and release status follow current Parts sheet.</x:v>
      </x:c>
    </x:row>
    <x:row r="78" ht="44" customHeight="1">
      <x:c r="A78" s="13" t="str">
        <x:v>IN-09</x:v>
      </x:c>
      <x:c r="B78" s="13" t="str">
        <x:v>MFR-25FBF52-330R</x:v>
      </x:c>
      <x:c r="C78" s="17" t="n">
        <x:v>2</x:v>
      </x:c>
      <x:c r="D78" s="21" t="n">
        <x:v>0.16</x:v>
      </x:c>
      <x:c r="E78" s="13" t="str">
        <x:v>2026-10-14 archival snapshot</x:v>
      </x:c>
      <x:c r="F78" s="13" t="str">
        <x:v>SUPERSEDED / INACTIVE</x:v>
      </x:c>
      <x:c r="G78" s="13" t="str">
        <x:v>Obsolete illumination, alternate part or duplicated/uncommissioned scope. Do not order from this historical line.</x:v>
      </x:c>
    </x:row>
    <x:row r="79" ht="44" customHeight="1">
      <x:c r="A79" s="12" t="str">
        <x:v>IN-10</x:v>
      </x:c>
      <x:c r="B79" s="12" t="str">
        <x:v>MFR-25FBF52-1K</x:v>
      </x:c>
      <x:c r="C79" s="16" t="n">
        <x:v>12</x:v>
      </x:c>
      <x:c r="D79" s="20" t="n">
        <x:v>0.063</x:v>
      </x:c>
      <x:c r="E79" s="12" t="str">
        <x:v>2026-10-14 archival snapshot</x:v>
      </x:c>
      <x:c r="F79" s="12" t="str">
        <x:v>R-1K</x:v>
      </x:c>
      <x:c r="G79" s="12" t="str">
        <x:v>Aggregated ADC and27 gate resistors.</x:v>
      </x:c>
    </x:row>
    <x:row r="80" ht="44" customHeight="1">
      <x:c r="A80" s="13" t="str">
        <x:v>IN-11</x:v>
      </x:c>
      <x:c r="B80" s="13" t="str">
        <x:v>MFR-25FBF52-100K</x:v>
      </x:c>
      <x:c r="C80" s="17" t="n">
        <x:v>12</x:v>
      </x:c>
      <x:c r="D80" s="21" t="n">
        <x:v>0.063</x:v>
      </x:c>
      <x:c r="E80" s="13" t="str">
        <x:v>2026-10-14 archival snapshot</x:v>
      </x:c>
      <x:c r="F80" s="13" t="str">
        <x:v>IN-11</x:v>
      </x:c>
      <x:c r="G80" s="13" t="str">
        <x:v>Retained candidate; quantity, present pricing and release status follow current Parts sheet.</x:v>
      </x:c>
    </x:row>
    <x:row r="81" ht="44" customHeight="1">
      <x:c r="A81" s="12" t="str">
        <x:v>IN-12</x:v>
      </x:c>
      <x:c r="B81" s="12" t="str">
        <x:v>MFR-25FBF52-10K</x:v>
      </x:c>
      <x:c r="C81" s="16" t="n">
        <x:v>9</x:v>
      </x:c>
      <x:c r="D81" s="20" t="n">
        <x:v>0.0456</x:v>
      </x:c>
      <x:c r="E81" s="12" t="str">
        <x:v>2026-10-14 archival snapshot</x:v>
      </x:c>
      <x:c r="F81" s="12" t="str">
        <x:v>R-10K</x:v>
      </x:c>
      <x:c r="G81" s="12" t="str">
        <x:v>Aggregated46 contact/phase+12 filter+9 boot resistors.</x:v>
      </x:c>
    </x:row>
    <x:row r="82" ht="44" customHeight="1">
      <x:c r="A82" s="13" t="str">
        <x:v>PWR-10</x:v>
      </x:c>
      <x:c r="B82" s="13" t="str">
        <x:v>TBD 1 µF X7R ≥16 V, effective capacitance ≥1 µF</x:v>
      </x:c>
      <x:c r="C82" s="17" t="n">
        <x:v>2</x:v>
      </x:c>
      <x:c r="D82" s="21"/>
      <x:c r="E82" s="13" t="str">
        <x:v>2026-10-14 archival snapshot</x:v>
      </x:c>
      <x:c r="F82" s="13" t="str">
        <x:v>PWR-10</x:v>
      </x:c>
      <x:c r="G82" s="13" t="str">
        <x:v>Retained candidate; quantity, present pricing and release status follow current Parts sheet.</x:v>
      </x:c>
    </x:row>
    <x:row r="83" ht="44" customHeight="1">
      <x:c r="A83" s="12" t="str">
        <x:v>PWR-11</x:v>
      </x:c>
      <x:c r="B83" s="12" t="str">
        <x:v>TBD after protection topology selected</x:v>
      </x:c>
      <x:c r="C83" s="16"/>
      <x:c r="D83" s="20"/>
      <x:c r="E83" s="12" t="str">
        <x:v>2026-10-14 archival snapshot</x:v>
      </x:c>
      <x:c r="F83" s="12" t="str">
        <x:v>PWR-11</x:v>
      </x:c>
      <x:c r="G83" s="12" t="str">
        <x:v>Retained candidate; quantity, present pricing and release status follow current Parts sheet.</x:v>
      </x:c>
    </x:row>
    <x:row r="84" ht="44" customHeight="1">
      <x:c r="A84" s="13" t="str">
        <x:v>PCB-10</x:v>
      </x:c>
      <x:c r="B84" s="13" t="str">
        <x:v>TBD labelled pads for rails, grounds, UART and scan signals</x:v>
      </x:c>
      <x:c r="C84" s="17"/>
      <x:c r="D84" s="21"/>
      <x:c r="E84" s="13" t="str">
        <x:v>2026-10-14 archival snapshot</x:v>
      </x:c>
      <x:c r="F84" s="13" t="str">
        <x:v>PCB-10</x:v>
      </x:c>
      <x:c r="G84" s="13" t="str">
        <x:v>Retained candidate; quantity, present pricing and release status follow current Parts sheet.</x:v>
      </x:c>
    </x:row>
    <x:row r="85" ht="44" customHeight="1">
      <x:c r="A85" s="12" t="str">
        <x:v>PCB-11</x:v>
      </x:c>
      <x:c r="B85" s="12" t="str">
        <x:v>TBD cable ties, anchors, sleeving, barriers</x:v>
      </x:c>
      <x:c r="C85" s="16"/>
      <x:c r="D85" s="20"/>
      <x:c r="E85" s="12" t="str">
        <x:v>2026-10-14 archival snapshot</x:v>
      </x:c>
      <x:c r="F85" s="12" t="str">
        <x:v>PCB-11</x:v>
      </x:c>
      <x:c r="G85" s="12" t="str">
        <x:v>Retained candidate; quantity, present pricing and release status follow current Parts sheet.</x:v>
      </x:c>
    </x:row>
    <x:row r="86" ht="44" customHeight="1">
      <x:c r="A86" s="13" t="str">
        <x:v>ALT-JOY</x:v>
      </x:c>
      <x:c r="B86" s="13" t="str">
        <x:v>JHT-5231JJ1 / JHT-5231AA1</x:v>
      </x:c>
      <x:c r="C86" s="17" t="n">
        <x:v>0</x:v>
      </x:c>
      <x:c r="D86" s="21"/>
      <x:c r="E86" s="13" t="str">
        <x:v>2026-10-14 archival snapshot</x:v>
      </x:c>
      <x:c r="F86" s="13" t="str">
        <x:v>SUPERSEDED / INACTIVE</x:v>
      </x:c>
      <x:c r="G86" s="13" t="str">
        <x:v>Obsolete illumination, alternate part or duplicated/uncommissioned scope. Do not order from this historical line.</x:v>
      </x:c>
    </x:row>
    <x:row r="87" ht="44" customHeight="1">
      <x:c r="A87" s="12" t="str">
        <x:v>IN-13</x:v>
      </x:c>
      <x:c r="B87" s="12" t="str">
        <x:v>C315C103K5R5TA</x:v>
      </x:c>
      <x:c r="C87" s="16" t="n">
        <x:v>12</x:v>
      </x:c>
      <x:c r="D87" s="20" t="n">
        <x:v>0.488</x:v>
      </x:c>
      <x:c r="E87" s="12" t="str">
        <x:v>2026-10-14 archival snapshot</x:v>
      </x:c>
      <x:c r="F87" s="12" t="str">
        <x:v>IN-13</x:v>
      </x:c>
      <x:c r="G87" s="12" t="str">
        <x:v>Retained candidate; quantity, present pricing and release status follow current Parts sheet.</x:v>
      </x:c>
    </x:row>
    <x:row r="88" ht="44" customHeight="1">
      <x:c r="A88" s="13" t="str">
        <x:v>PWR-12</x:v>
      </x:c>
      <x:c r="B88" s="13" t="str">
        <x:v>TBD 10 uF, &gt;=6.3 V; &gt;=5 uF effective at 3.3 V</x:v>
      </x:c>
      <x:c r="C88" s="17" t="n">
        <x:v>1</x:v>
      </x:c>
      <x:c r="D88" s="21"/>
      <x:c r="E88" s="13" t="str">
        <x:v>2026-10-14 archival snapshot</x:v>
      </x:c>
      <x:c r="F88" s="13" t="str">
        <x:v>PWR-12</x:v>
      </x:c>
      <x:c r="G88" s="13" t="str">
        <x:v>Retained candidate; quantity, present pricing and release status follow current Parts sheet.</x:v>
      </x:c>
    </x:row>
    <x:row r="89" ht="44" customHeight="1">
      <x:c r="A89" s="12" t="str">
        <x:v>XH-H2</x:v>
      </x:c>
      <x:c r="B89" s="12" t="str">
        <x:v>B2B-XH-A</x:v>
      </x:c>
      <x:c r="C89" s="16" t="n">
        <x:v>1</x:v>
      </x:c>
      <x:c r="D89" s="20" t="n">
        <x:v>0.15</x:v>
      </x:c>
      <x:c r="E89" s="12" t="str">
        <x:v>2026-10-14 archival snapshot</x:v>
      </x:c>
      <x:c r="F89" s="12" t="str">
        <x:v>XH-H2</x:v>
      </x:c>
      <x:c r="G89" s="12" t="str">
        <x:v>Retained candidate; quantity, present pricing and release status follow current Parts sheet.</x:v>
      </x:c>
    </x:row>
    <x:row r="90" ht="44" customHeight="1">
      <x:c r="A90" s="13" t="str">
        <x:v>XH-S2</x:v>
      </x:c>
      <x:c r="B90" s="13" t="str">
        <x:v>XHP-2</x:v>
      </x:c>
      <x:c r="C90" s="17" t="n">
        <x:v>1</x:v>
      </x:c>
      <x:c r="D90" s="21" t="n">
        <x:v>0.16</x:v>
      </x:c>
      <x:c r="E90" s="13" t="str">
        <x:v>2026-10-14 archival snapshot</x:v>
      </x:c>
      <x:c r="F90" s="13" t="str">
        <x:v>XH-S2</x:v>
      </x:c>
      <x:c r="G90" s="13" t="str">
        <x:v>Retained candidate; quantity, present pricing and release status follow current Parts sheet.</x:v>
      </x:c>
    </x:row>
    <x:row r="91" ht="44" customHeight="1">
      <x:c r="A91" s="12" t="str">
        <x:v>XH-H3</x:v>
      </x:c>
      <x:c r="B91" s="12" t="str">
        <x:v>B3B-XH-A</x:v>
      </x:c>
      <x:c r="C91" s="16" t="n">
        <x:v>2</x:v>
      </x:c>
      <x:c r="D91" s="20" t="n">
        <x:v>0.19</x:v>
      </x:c>
      <x:c r="E91" s="12" t="str">
        <x:v>2026-10-14 archival snapshot</x:v>
      </x:c>
      <x:c r="F91" s="12" t="str">
        <x:v>XH-H3</x:v>
      </x:c>
      <x:c r="G91" s="12" t="str">
        <x:v>Retained candidate; quantity, present pricing and release status follow current Parts sheet.</x:v>
      </x:c>
    </x:row>
    <x:row r="92" ht="44" customHeight="1">
      <x:c r="A92" s="13" t="str">
        <x:v>XH-S3</x:v>
      </x:c>
      <x:c r="B92" s="13" t="str">
        <x:v>XHP-3</x:v>
      </x:c>
      <x:c r="C92" s="17" t="n">
        <x:v>2</x:v>
      </x:c>
      <x:c r="D92" s="21" t="n">
        <x:v>0.16</x:v>
      </x:c>
      <x:c r="E92" s="13" t="str">
        <x:v>2026-10-14 archival snapshot</x:v>
      </x:c>
      <x:c r="F92" s="13" t="str">
        <x:v>XH-S3</x:v>
      </x:c>
      <x:c r="G92" s="13" t="str">
        <x:v>Retained candidate; quantity, present pricing and release status follow current Parts sheet.</x:v>
      </x:c>
    </x:row>
    <x:row r="93" ht="44" customHeight="1">
      <x:c r="A93" s="12" t="str">
        <x:v>XH-H4</x:v>
      </x:c>
      <x:c r="B93" s="12" t="str">
        <x:v>B4B-XH-A</x:v>
      </x:c>
      <x:c r="C93" s="16" t="n">
        <x:v>2</x:v>
      </x:c>
      <x:c r="D93" s="20" t="n">
        <x:v>0.25</x:v>
      </x:c>
      <x:c r="E93" s="12" t="str">
        <x:v>2026-10-14 archival snapshot</x:v>
      </x:c>
      <x:c r="F93" s="12" t="str">
        <x:v>XH-H4</x:v>
      </x:c>
      <x:c r="G93" s="12" t="str">
        <x:v>Retained candidate; quantity, present pricing and release status follow current Parts sheet.</x:v>
      </x:c>
    </x:row>
    <x:row r="94" ht="44" customHeight="1">
      <x:c r="A94" s="13" t="str">
        <x:v>XH-S4</x:v>
      </x:c>
      <x:c r="B94" s="13" t="str">
        <x:v>XHP-4</x:v>
      </x:c>
      <x:c r="C94" s="17" t="n">
        <x:v>2</x:v>
      </x:c>
      <x:c r="D94" s="21" t="n">
        <x:v>0.16</x:v>
      </x:c>
      <x:c r="E94" s="13" t="str">
        <x:v>2026-10-14 archival snapshot</x:v>
      </x:c>
      <x:c r="F94" s="13" t="str">
        <x:v>XH-S4</x:v>
      </x:c>
      <x:c r="G94" s="13" t="str">
        <x:v>Retained candidate; quantity, present pricing and release status follow current Parts sheet.</x:v>
      </x:c>
    </x:row>
    <x:row r="95" ht="44" customHeight="1">
      <x:c r="A95" s="12" t="str">
        <x:v>XH-H5</x:v>
      </x:c>
      <x:c r="B95" s="12" t="str">
        <x:v>B5B-XH-A</x:v>
      </x:c>
      <x:c r="C95" s="16" t="n">
        <x:v>1</x:v>
      </x:c>
      <x:c r="D95" s="20" t="n">
        <x:v>0.3</x:v>
      </x:c>
      <x:c r="E95" s="12" t="str">
        <x:v>2026-10-14 archival snapshot</x:v>
      </x:c>
      <x:c r="F95" s="12" t="str">
        <x:v>XH-H5</x:v>
      </x:c>
      <x:c r="G95" s="12" t="str">
        <x:v>Retained candidate; quantity, present pricing and release status follow current Parts sheet.</x:v>
      </x:c>
    </x:row>
    <x:row r="96" ht="44" customHeight="1">
      <x:c r="A96" s="13" t="str">
        <x:v>XH-S5</x:v>
      </x:c>
      <x:c r="B96" s="13" t="str">
        <x:v>XHP-5</x:v>
      </x:c>
      <x:c r="C96" s="17" t="n">
        <x:v>1</x:v>
      </x:c>
      <x:c r="D96" s="21" t="n">
        <x:v>0.16</x:v>
      </x:c>
      <x:c r="E96" s="13" t="str">
        <x:v>2026-10-14 archival snapshot</x:v>
      </x:c>
      <x:c r="F96" s="13" t="str">
        <x:v>XH-S5</x:v>
      </x:c>
      <x:c r="G96" s="13" t="str">
        <x:v>Retained candidate; quantity, present pricing and release status follow current Parts sheet.</x:v>
      </x:c>
    </x:row>
    <x:row r="97" ht="44" customHeight="1">
      <x:c r="A97" s="12" t="str">
        <x:v>XH-H6</x:v>
      </x:c>
      <x:c r="B97" s="12" t="str">
        <x:v>B6B-XH-A</x:v>
      </x:c>
      <x:c r="C97" s="16" t="n">
        <x:v>1</x:v>
      </x:c>
      <x:c r="D97" s="20" t="n">
        <x:v>0.34</x:v>
      </x:c>
      <x:c r="E97" s="12" t="str">
        <x:v>2026-10-14 archival snapshot</x:v>
      </x:c>
      <x:c r="F97" s="12" t="str">
        <x:v>XH-H6</x:v>
      </x:c>
      <x:c r="G97" s="12" t="str">
        <x:v>Retained candidate; quantity, present pricing and release status follow current Parts sheet.</x:v>
      </x:c>
    </x:row>
    <x:row r="98" ht="44" customHeight="1">
      <x:c r="A98" s="13" t="str">
        <x:v>XH-S6</x:v>
      </x:c>
      <x:c r="B98" s="13" t="str">
        <x:v>XHP-6</x:v>
      </x:c>
      <x:c r="C98" s="17" t="n">
        <x:v>1</x:v>
      </x:c>
      <x:c r="D98" s="21" t="n">
        <x:v>0.16</x:v>
      </x:c>
      <x:c r="E98" s="13" t="str">
        <x:v>2026-10-14 archival snapshot</x:v>
      </x:c>
      <x:c r="F98" s="13" t="str">
        <x:v>XH-S6</x:v>
      </x:c>
      <x:c r="G98" s="13" t="str">
        <x:v>Retained candidate; quantity, present pricing and release status follow current Parts sheet.</x:v>
      </x:c>
    </x:row>
    <x:row r="99" ht="44" customHeight="1">
      <x:c r="A99" s="12" t="str">
        <x:v>XH-H10</x:v>
      </x:c>
      <x:c r="B99" s="12" t="str">
        <x:v>B10B-XH-A</x:v>
      </x:c>
      <x:c r="C99" s="16" t="n">
        <x:v>4</x:v>
      </x:c>
      <x:c r="D99" s="20" t="n">
        <x:v>0.58</x:v>
      </x:c>
      <x:c r="E99" s="12" t="str">
        <x:v>2026-10-14 archival snapshot</x:v>
      </x:c>
      <x:c r="F99" s="12" t="str">
        <x:v>XH-H10</x:v>
      </x:c>
      <x:c r="G99" s="12" t="str">
        <x:v>Retained candidate; quantity, present pricing and release status follow current Parts sheet.</x:v>
      </x:c>
    </x:row>
    <x:row r="100" ht="44" customHeight="1">
      <x:c r="A100" s="13" t="str">
        <x:v>XH-S10</x:v>
      </x:c>
      <x:c r="B100" s="13" t="str">
        <x:v>XHP-10</x:v>
      </x:c>
      <x:c r="C100" s="17" t="n">
        <x:v>4</x:v>
      </x:c>
      <x:c r="D100" s="21" t="n">
        <x:v>0.24</x:v>
      </x:c>
      <x:c r="E100" s="13" t="str">
        <x:v>2026-10-14 archival snapshot</x:v>
      </x:c>
      <x:c r="F100" s="13" t="str">
        <x:v>XH-S10</x:v>
      </x:c>
      <x:c r="G100" s="13" t="str">
        <x:v>Retained candidate; quantity, present pricing and release status follow current Parts sheet.</x:v>
      </x:c>
    </x:row>
    <x:row r="101" ht="44" customHeight="1">
      <x:c r="A101" s="12" t="str">
        <x:v>XH-W</x:v>
      </x:c>
      <x:c r="B101" s="12" t="str">
        <x:v>ASXHSXH22K305</x:v>
      </x:c>
      <x:c r="C101" s="16" t="n">
        <x:v>38</x:v>
      </x:c>
      <x:c r="D101" s="20" t="n">
        <x:v>1.0736</x:v>
      </x:c>
      <x:c r="E101" s="12" t="str">
        <x:v>2026-10-14 archival snapshot</x:v>
      </x:c>
      <x:c r="F101" s="12" t="str">
        <x:v>XH-W</x:v>
      </x:c>
      <x:c r="G101" s="12" t="str">
        <x:v>Retained candidate; quantity, present pricing and release status follow current Parts sheet.</x:v>
      </x:c>
    </x:row>
    <x:row r="102" ht="44" customHeight="1">
      <x:c r="A102" s="13" t="str">
        <x:v>XH-ALT</x:v>
      </x:c>
      <x:c r="B102" s="13" t="str">
        <x:v>SXH-001T-P0.6</x:v>
      </x:c>
      <x:c r="C102" s="17" t="n">
        <x:v>0</x:v>
      </x:c>
      <x:c r="D102" s="21"/>
      <x:c r="E102" s="13" t="str">
        <x:v>2026-10-14 archival snapshot</x:v>
      </x:c>
      <x:c r="F102" s="13" t="str">
        <x:v>SUPERSEDED / INACTIVE</x:v>
      </x:c>
      <x:c r="G102" s="13" t="str">
        <x:v>Obsolete illumination, alternate part or duplicated/uncommissioned scope. Do not order from this historical line.</x:v>
      </x:c>
    </x:row>
  </x:sheetData>
  <x:pageMargins left="0.7" right="0.7" top="0.75" bottom="0.75" header="0.3" footer="0.3"/>
  <x:tableParts count="1">
    <x:tablePart xmlns:r="http://schemas.openxmlformats.org/officeDocument/2006/relationships" r:id="R20ef550aa69d4761"/>
  </x:tableParts>
</x:worksheet>
</file>