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b256a6976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ec26cef0b1b414a"/>
    <x:sheet xmlns:r="http://schemas.openxmlformats.org/officeDocument/2006/relationships" name="Enclosure" sheetId="2" r:id="Ra344fd3024804cfd"/>
    <x:sheet xmlns:r="http://schemas.openxmlformats.org/officeDocument/2006/relationships" name="Components" sheetId="3" r:id="R0efc6123cc5b4548"/>
    <x:sheet xmlns:r="http://schemas.openxmlformats.org/officeDocument/2006/relationships" name="Mounts" sheetId="4" r:id="R94e175141778464c"/>
    <x:sheet xmlns:r="http://schemas.openxmlformats.org/officeDocument/2006/relationships" name="Rear I-O" sheetId="5" r:id="R00578138231f48b4"/>
    <x:sheet xmlns:r="http://schemas.openxmlformats.org/officeDocument/2006/relationships" name="GPIO" sheetId="6" r:id="Rbb86bd08ad7c4cfd"/>
    <x:sheet xmlns:r="http://schemas.openxmlformats.org/officeDocument/2006/relationships" name="Interior" sheetId="7" r:id="Rad2b8a7ef65a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color rgb="FF182B45"/>
      <x:name val="Arial"/>
    </x:font>
    <x:font>
      <x:b/>
      <x:sz val="15"/>
      <x:color rgb="FF182B45"/>
      <x:name val="Arial"/>
    </x:font>
    <x:font>
      <x:i/>
      <x:sz val="10"/>
      <x:color rgb="FF59697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2B45"/>
      </x:patternFill>
    </x:fill>
    <x:fill>
      <x:patternFill patternType="solid">
        <x:fgColor rgb="FFF3F6F8"/>
      </x:patternFill>
    </x:fill>
    <x:fill>
      <x:patternFill patternType="solid">
        <x:fgColor rgb="FFFFF0C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45879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78440A"/>
      </x:font>
      <x:fill>
        <x:patternFill patternType="solid">
          <x:bgColor rgb="FFFFF0C9"/>
        </x:patternFill>
      </x:fill>
    </x:dxf>
    <x:dxf>
      <x:font>
        <x:color rgb="FF78440A"/>
      </x:font>
      <x:fill>
        <x:patternFill patternType="solid">
          <x:bgColor rgb="FFFFF0C9"/>
        </x:patternFill>
      </x:fill>
    </x:dxf>
    <x:dxf>
      <x:font>
        <x:b/>
        <x:color rgb="FFA32418"/>
      </x:font>
      <x:fill>
        <x:patternFill patternType="solid">
          <x:bgColor rgb="FFFBE6E2"/>
        </x:patternFill>
      </x:fill>
    </x:dxf>
    <x:dxf>
      <x:font>
        <x:color rgb="FF78440A"/>
      </x:font>
      <x:fill>
        <x:patternFill patternType="solid">
          <x:bgColor rgb="FFFFF0C9"/>
        </x:patternFill>
      </x:fill>
    </x:dxf>
    <x:dxf>
      <x:font>
        <x:color rgb="FF78440A"/>
      </x:font>
      <x:fill>
        <x:patternFill patternType="solid">
          <x:bgColor rgb="FFFFF0C9"/>
        </x:patternFill>
      </x:fill>
    </x:dxf>
    <x:dxf>
      <x:font>
        <x:color rgb="FF78440A"/>
      </x:font>
      <x:fill>
        <x:patternFill patternType="solid">
          <x:bgColor rgb="FFFFF0C9"/>
        </x:patternFill>
      </x:fill>
    </x:dxf>
    <x:dxf>
      <x:font>
        <x:color rgb="FF78440A"/>
      </x:font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25ee76c4e40a5" /><Relationship Type="http://schemas.openxmlformats.org/officeDocument/2006/relationships/theme" Target="/xl/theme/theme1.xml" Id="R498c851928e44826" /><Relationship Type="http://schemas.openxmlformats.org/officeDocument/2006/relationships/sharedStrings" Target="/xl/sharedStrings.xml" Id="R241984d8487b4eb7" /><Relationship Type="http://schemas.openxmlformats.org/officeDocument/2006/relationships/worksheet" Target="/xl/worksheets/sheet1.xml" Id="R9ec26cef0b1b414a" /><Relationship Type="http://schemas.openxmlformats.org/officeDocument/2006/relationships/worksheet" Target="/xl/worksheets/sheet2.xml" Id="Ra344fd3024804cfd" /><Relationship Type="http://schemas.openxmlformats.org/officeDocument/2006/relationships/worksheet" Target="/xl/worksheets/sheet3.xml" Id="R0efc6123cc5b4548" /><Relationship Type="http://schemas.openxmlformats.org/officeDocument/2006/relationships/worksheet" Target="/xl/worksheets/sheet4.xml" Id="R94e175141778464c" /><Relationship Type="http://schemas.openxmlformats.org/officeDocument/2006/relationships/worksheet" Target="/xl/worksheets/sheet5.xml" Id="R00578138231f48b4" /><Relationship Type="http://schemas.openxmlformats.org/officeDocument/2006/relationships/worksheet" Target="/xl/worksheets/sheet6.xml" Id="Rbb86bd08ad7c4cfd" /><Relationship Type="http://schemas.openxmlformats.org/officeDocument/2006/relationships/worksheet" Target="/xl/worksheets/sheet7.xml" Id="Rad2b8a7ef65a4567" /></Relationships>
</file>

<file path=xl/tables/table1.xml><?xml version="1.0" encoding="utf-8"?>
<x:table xmlns:x="http://schemas.openxmlformats.org/spreadsheetml/2006/main" id="2" name="ControlCoordinates" displayName="ControlCoordinates" ref="A6:O48" headerRowCount="1" totalsRowCount="0" totalsRowShown="0">
  <x:tableColumns count="15">
    <x:tableColumn id="1" name="ID"/>
    <x:tableColumn id="2" name="Control"/>
    <x:tableColumn id="3" name="Type"/>
    <x:tableColumn id="4" name="X mm"/>
    <x:tableColumn id="5" name="Slope Y mm"/>
    <x:tableColumn id="6" name="World Y mm"/>
    <x:tableColumn id="7" name="World Z mm"/>
    <x:tableColumn id="8" name="Envelope W mm"/>
    <x:tableColumn id="9" name="Envelope H mm"/>
    <x:tableColumn id="10" name="Aperture / drawing reference"/>
    <x:tableColumn id="11" name="2D bounds"/>
    <x:tableColumn id="12" name="Release"/>
    <x:tableColumn id="13" name="Meaning / uncertainty"/>
    <x:tableColumn id="14" name="Column14"/>
    <x:tableColumn id="15" name="Source URL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EnclosureData" displayName="EnclosureData" ref="A6:G27" headerRowCount="1" totalsRowCount="0" totalsRowShown="0">
  <x:tableColumns count="7">
    <x:tableColumn id="1" name="Parameter"/>
    <x:tableColumn id="2" name="Value"/>
    <x:tableColumn id="3" name="Unit"/>
    <x:tableColumn id="4" name="Evidence / release"/>
    <x:tableColumn id="5" name="Meaning"/>
    <x:tableColumn id="6" name="Column6"/>
    <x:tableColumn id="7" name="Source URL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mponentsData" displayName="ComponentsData" ref="A6:M19" headerRowCount="1" totalsRowCount="0" totalsRowShown="0">
  <x:tableColumns count="13">
    <x:tableColumn id="1" name="ID"/>
    <x:tableColumn id="2" name="Exact part / assembly"/>
    <x:tableColumn id="3" name="Qty"/>
    <x:tableColumn id="4" name="Outline / dimension basis"/>
    <x:tableColumn id="5" name="Panel aperture"/>
    <x:tableColumn id="6" name="Mount / local hole pattern"/>
    <x:tableColumn id="7" name="Above mounting plane"/>
    <x:tableColumn id="8" name="Below mounting plane"/>
    <x:tableColumn id="9" name="Assembly / cable clearance"/>
    <x:tableColumn id="10" name="Evidence class"/>
    <x:tableColumn id="11" name="Remaining verification"/>
    <x:tableColumn id="12" name="Column12"/>
    <x:tableColumn id="13" name="Source URL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MountsData" displayName="MountsData" ref="A6:G38" headerRowCount="1" totalsRowCount="0" totalsRowShown="0">
  <x:tableColumns count="7">
    <x:tableColumn id="1" name="ID"/>
    <x:tableColumn id="2" name="Coordinate basis"/>
    <x:tableColumn id="3" name="X mm"/>
    <x:tableColumn id="4" name="Y / Z mm"/>
    <x:tableColumn id="5" name="Hole diameter mm"/>
    <x:tableColumn id="6" name="Fastener"/>
    <x:tableColumn id="7" name="Verification / releas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arIOData" displayName="RearIOData" ref="A6:I13" headerRowCount="1" totalsRowCount="0" totalsRowShown="0">
  <x:tableColumns count="9">
    <x:tableColumn id="1" name="ID"/>
    <x:tableColumn id="2" name="X mm"/>
    <x:tableColumn id="3" name="Z mm"/>
    <x:tableColumn id="4" name="Cutout reference"/>
    <x:tableColumn id="5" name="Exact component"/>
    <x:tableColumn id="6" name="Internal allowance mm"/>
    <x:tableColumn id="7" name="Release / required measurement"/>
    <x:tableColumn id="8" name="Column8"/>
    <x:tableColumn id="9" name="Source URL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GPIOData" displayName="GPIOData" ref="A6:E25" headerRowCount="1" totalsRowCount="0" totalsRowShown="0">
  <x:tableColumns count="5">
    <x:tableColumn id="1" name="Header pad"/>
    <x:tableColumn id="2" name="GPIO"/>
    <x:tableColumn id="3" name="Assigned signal"/>
    <x:tableColumn id="4" name="Peripheral"/>
    <x:tableColumn id="5" name="Verification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InteriorData" displayName="InteriorData" ref="A6:H15" headerRowCount="1" totalsRowCount="0" totalsRowShown="0">
  <x:tableColumns count="8">
    <x:tableColumn id="1" name="ID"/>
    <x:tableColumn id="2" name="Assembly"/>
    <x:tableColumn id="3" name="Datum basis"/>
    <x:tableColumn id="4" name="X mm"/>
    <x:tableColumn id="5" name="Y / slope mm"/>
    <x:tableColumn id="6" name="Z / normal mm"/>
    <x:tableColumn id="7" name="Reserved volume"/>
    <x:tableColumn id="8" name="Remaining verifica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2fbae5176043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2276fe47fc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2761e9472d49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ace7ca716b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a18d4b1bd8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f6b1783e0544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550160f4a34f3b" /></Relationships>
</file>

<file path=xl/worksheets/sheet1.xml><?xml version="1.0" encoding="utf-8"?>
<x:worksheet xmlns:x="http://schemas.openxmlformats.org/spreadsheetml/2006/main">
  <x:sheetPr>
    <x:tabColor rgb="FF182B4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1" hidden="0" customWidth="1"/>
    <x:col min="4" max="4" width="13" hidden="0" customWidth="1"/>
    <x:col min="5" max="5" width="15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63" hidden="0" customWidth="1"/>
    <x:col min="11" max="11" width="22" hidden="0" customWidth="1"/>
    <x:col min="12" max="12" width="17" hidden="0" customWidth="1"/>
    <x:col min="13" max="13" width="80" hidden="0" customWidth="1"/>
    <x:col min="14" max="14" width="3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7" t="str">
        <x:v>Control coordinates: front-left panel origin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9" t="str">
        <x:v>X right. Slope Y uphill. World origin front-left base. All placements proposed; no physical or 3D fit test.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6" customHeight="1">
      <x:c r="A6" s="23" t="str">
        <x:v>ID</x:v>
      </x:c>
      <x:c r="B6" s="23" t="str">
        <x:v>Control</x:v>
      </x:c>
      <x:c r="C6" s="23" t="str">
        <x:v>Type</x:v>
      </x:c>
      <x:c r="D6" s="23" t="str">
        <x:v>X mm</x:v>
      </x:c>
      <x:c r="E6" s="23" t="str">
        <x:v>Slope Y mm</x:v>
      </x:c>
      <x:c r="F6" s="23" t="str">
        <x:v>World Y mm</x:v>
      </x:c>
      <x:c r="G6" s="23" t="str">
        <x:v>World Z mm</x:v>
      </x:c>
      <x:c r="H6" s="23" t="str">
        <x:v>Envelope W mm</x:v>
      </x:c>
      <x:c r="I6" s="23" t="str">
        <x:v>Envelope H mm</x:v>
      </x:c>
      <x:c r="J6" s="23" t="str">
        <x:v>Aperture / drawing reference</x:v>
      </x:c>
      <x:c r="K6" s="23" t="str">
        <x:v>2D bounds</x:v>
      </x:c>
      <x:c r="L6" s="23" t="str">
        <x:v>Release</x:v>
      </x:c>
      <x:c r="M6" s="23" t="str">
        <x:v>Meaning / uncertainty</x:v>
      </x:c>
      <x:c r="N6" s="23" t="str"/>
      <x:c r="O6" s="23" t="str">
        <x:v>Source URL</x:v>
      </x:c>
    </x:row>
    <x:row r="7" ht="54" customHeight="1">
      <x:c r="A7" s="10" t="str">
        <x:v>CAM1</x:v>
      </x:c>
      <x:c r="B7" s="10" t="str">
        <x:v>CAM 1</x:v>
      </x:c>
      <x:c r="C7" s="10" t="str">
        <x:v>1KC</x:v>
      </x:c>
      <x:c r="D7" s="16" t="n">
        <x:v>190</x:v>
      </x:c>
      <x:c r="E7" s="16" t="n">
        <x:v>48</x:v>
      </x:c>
      <x:c r="F7" s="14" t="n">
        <x:f>E7*COS(RADIANS('Enclosure'!$B$9))</x:f>
        <x:v>47.27077214458598</x:v>
      </x:c>
      <x:c r="G7" s="14" t="n">
        <x:f>'Enclosure'!$B$10+E7*SIN(RADIANS('Enclosure'!$B$9))</x:f>
        <x:v>63.33511252801266</x:v>
      </x:c>
      <x:c r="H7" s="14" t="n">
        <x:v>17.75</x:v>
      </x:c>
      <x:c r="I7" s="14" t="n">
        <x:v>17.75</x:v>
      </x:c>
      <x:c r="J7" s="10" t="str">
        <x:v>14.7 square minimum uncoated family reference; coated cutout HOLD</x:v>
      </x:c>
      <x:c r="K7" s="10" t="str">
        <x:f>IF(AND(D7-H7/2&gt;=10,D7+H7/2&lt;='Enclosure'!$B$7-10,E7-I7/2&gt;=15,E7+I7/2&lt;='Enclosure'!$B$8-15),"WITHIN TRIAL BOUNDS","OUTSIDE BOUNDS")</x:f>
        <x:v>WITHIN TRIAL BOUNDS</x:v>
      </x:c>
      <x:c r="L7" s="10" t="str">
        <x:v>HOLD</x:v>
      </x:c>
      <x:c r="M7" s="10" t="str">
        <x:v>CAM1-4 dedicated RS-422; CAM5-10 uncommissioned</x:v>
      </x:c>
      <x:c r="N7" s="10" t="str"/>
      <x:c r="O7" s="10" t="str">
        <x:v>https://www.apem.com/storage/datasheets/files/MEC_switches_serie_1K_1KB_1KC/media/MEC-switches-serie-1K-1KB-1KC.pdf</x:v>
      </x:c>
    </x:row>
    <x:row r="8" ht="54" customHeight="1">
      <x:c r="A8" s="11" t="str">
        <x:v>CAM2</x:v>
      </x:c>
      <x:c r="B8" s="11" t="str">
        <x:v>CAM 2</x:v>
      </x:c>
      <x:c r="C8" s="11" t="str">
        <x:v>1KC</x:v>
      </x:c>
      <x:c r="D8" s="16" t="n">
        <x:v>212</x:v>
      </x:c>
      <x:c r="E8" s="16" t="n">
        <x:v>48</x:v>
      </x:c>
      <x:c r="F8" s="15" t="n">
        <x:f>E8*COS(RADIANS('Enclosure'!$B$9))</x:f>
        <x:v>47.27077214458598</x:v>
      </x:c>
      <x:c r="G8" s="15" t="n">
        <x:f>'Enclosure'!$B$10+E8*SIN(RADIANS('Enclosure'!$B$9))</x:f>
        <x:v>63.33511252801266</x:v>
      </x:c>
      <x:c r="H8" s="15" t="n">
        <x:v>17.75</x:v>
      </x:c>
      <x:c r="I8" s="15" t="n">
        <x:v>17.75</x:v>
      </x:c>
      <x:c r="J8" s="11" t="str">
        <x:v>14.7 square minimum uncoated family reference; coated cutout HOLD</x:v>
      </x:c>
      <x:c r="K8" s="11" t="str">
        <x:f>IF(AND(D8-H8/2&gt;=10,D8+H8/2&lt;='Enclosure'!$B$7-10,E8-I8/2&gt;=15,E8+I8/2&lt;='Enclosure'!$B$8-15),"WITHIN TRIAL BOUNDS","OUTSIDE BOUNDS")</x:f>
        <x:v>WITHIN TRIAL BOUNDS</x:v>
      </x:c>
      <x:c r="L8" s="11" t="str">
        <x:v>HOLD</x:v>
      </x:c>
      <x:c r="M8" s="11" t="str">
        <x:v>CAM1-4 dedicated RS-422; CAM5-10 uncommissioned</x:v>
      </x:c>
      <x:c r="N8" s="11" t="str"/>
      <x:c r="O8" s="11" t="str">
        <x:v>https://www.apem.com/storage/datasheets/files/MEC_switches_serie_1K_1KB_1KC/media/MEC-switches-serie-1K-1KB-1KC.pdf</x:v>
      </x:c>
    </x:row>
    <x:row r="9" ht="54" customHeight="1">
      <x:c r="A9" s="10" t="str">
        <x:v>CAM3</x:v>
      </x:c>
      <x:c r="B9" s="10" t="str">
        <x:v>CAM 3</x:v>
      </x:c>
      <x:c r="C9" s="10" t="str">
        <x:v>1KC</x:v>
      </x:c>
      <x:c r="D9" s="16" t="n">
        <x:v>234</x:v>
      </x:c>
      <x:c r="E9" s="16" t="n">
        <x:v>48</x:v>
      </x:c>
      <x:c r="F9" s="14" t="n">
        <x:f>E9*COS(RADIANS('Enclosure'!$B$9))</x:f>
        <x:v>47.27077214458598</x:v>
      </x:c>
      <x:c r="G9" s="14" t="n">
        <x:f>'Enclosure'!$B$10+E9*SIN(RADIANS('Enclosure'!$B$9))</x:f>
        <x:v>63.33511252801266</x:v>
      </x:c>
      <x:c r="H9" s="14" t="n">
        <x:v>17.75</x:v>
      </x:c>
      <x:c r="I9" s="14" t="n">
        <x:v>17.75</x:v>
      </x:c>
      <x:c r="J9" s="10" t="str">
        <x:v>14.7 square minimum uncoated family reference; coated cutout HOLD</x:v>
      </x:c>
      <x:c r="K9" s="10" t="str">
        <x:f>IF(AND(D9-H9/2&gt;=10,D9+H9/2&lt;='Enclosure'!$B$7-10,E9-I9/2&gt;=15,E9+I9/2&lt;='Enclosure'!$B$8-15),"WITHIN TRIAL BOUNDS","OUTSIDE BOUNDS")</x:f>
        <x:v>WITHIN TRIAL BOUNDS</x:v>
      </x:c>
      <x:c r="L9" s="10" t="str">
        <x:v>HOLD</x:v>
      </x:c>
      <x:c r="M9" s="10" t="str">
        <x:v>CAM1-4 dedicated RS-422; CAM5-10 uncommissioned</x:v>
      </x:c>
      <x:c r="N9" s="10" t="str"/>
      <x:c r="O9" s="10" t="str">
        <x:v>https://www.apem.com/storage/datasheets/files/MEC_switches_serie_1K_1KB_1KC/media/MEC-switches-serie-1K-1KB-1KC.pdf</x:v>
      </x:c>
    </x:row>
    <x:row r="10" ht="54" customHeight="1">
      <x:c r="A10" s="11" t="str">
        <x:v>CAM4</x:v>
      </x:c>
      <x:c r="B10" s="11" t="str">
        <x:v>CAM 4</x:v>
      </x:c>
      <x:c r="C10" s="11" t="str">
        <x:v>1KC</x:v>
      </x:c>
      <x:c r="D10" s="16" t="n">
        <x:v>256</x:v>
      </x:c>
      <x:c r="E10" s="16" t="n">
        <x:v>48</x:v>
      </x:c>
      <x:c r="F10" s="15" t="n">
        <x:f>E10*COS(RADIANS('Enclosure'!$B$9))</x:f>
        <x:v>47.27077214458598</x:v>
      </x:c>
      <x:c r="G10" s="15" t="n">
        <x:f>'Enclosure'!$B$10+E10*SIN(RADIANS('Enclosure'!$B$9))</x:f>
        <x:v>63.33511252801266</x:v>
      </x:c>
      <x:c r="H10" s="15" t="n">
        <x:v>17.75</x:v>
      </x:c>
      <x:c r="I10" s="15" t="n">
        <x:v>17.75</x:v>
      </x:c>
      <x:c r="J10" s="11" t="str">
        <x:v>14.7 square minimum uncoated family reference; coated cutout HOLD</x:v>
      </x:c>
      <x:c r="K10" s="11" t="str">
        <x:f>IF(AND(D10-H10/2&gt;=10,D10+H10/2&lt;='Enclosure'!$B$7-10,E10-I10/2&gt;=15,E10+I10/2&lt;='Enclosure'!$B$8-15),"WITHIN TRIAL BOUNDS","OUTSIDE BOUNDS")</x:f>
        <x:v>WITHIN TRIAL BOUNDS</x:v>
      </x:c>
      <x:c r="L10" s="11" t="str">
        <x:v>HOLD</x:v>
      </x:c>
      <x:c r="M10" s="11" t="str">
        <x:v>CAM1-4 dedicated RS-422; CAM5-10 uncommissioned</x:v>
      </x:c>
      <x:c r="N10" s="11" t="str"/>
      <x:c r="O10" s="11" t="str">
        <x:v>https://www.apem.com/storage/datasheets/files/MEC_switches_serie_1K_1KB_1KC/media/MEC-switches-serie-1K-1KB-1KC.pdf</x:v>
      </x:c>
    </x:row>
    <x:row r="11" ht="54" customHeight="1">
      <x:c r="A11" s="10" t="str">
        <x:v>CAM5</x:v>
      </x:c>
      <x:c r="B11" s="10" t="str">
        <x:v>CAM 5</x:v>
      </x:c>
      <x:c r="C11" s="10" t="str">
        <x:v>1KC</x:v>
      </x:c>
      <x:c r="D11" s="16" t="n">
        <x:v>278</x:v>
      </x:c>
      <x:c r="E11" s="16" t="n">
        <x:v>48</x:v>
      </x:c>
      <x:c r="F11" s="14" t="n">
        <x:f>E11*COS(RADIANS('Enclosure'!$B$9))</x:f>
        <x:v>47.27077214458598</x:v>
      </x:c>
      <x:c r="G11" s="14" t="n">
        <x:f>'Enclosure'!$B$10+E11*SIN(RADIANS('Enclosure'!$B$9))</x:f>
        <x:v>63.33511252801266</x:v>
      </x:c>
      <x:c r="H11" s="14" t="n">
        <x:v>17.75</x:v>
      </x:c>
      <x:c r="I11" s="14" t="n">
        <x:v>17.75</x:v>
      </x:c>
      <x:c r="J11" s="10" t="str">
        <x:v>14.7 square minimum uncoated family reference; coated cutout HOLD</x:v>
      </x:c>
      <x:c r="K11" s="10" t="str">
        <x:f>IF(AND(D11-H11/2&gt;=10,D11+H11/2&lt;='Enclosure'!$B$7-10,E11-I11/2&gt;=15,E11+I11/2&lt;='Enclosure'!$B$8-15),"WITHIN TRIAL BOUNDS","OUTSIDE BOUNDS")</x:f>
        <x:v>WITHIN TRIAL BOUNDS</x:v>
      </x:c>
      <x:c r="L11" s="10" t="str">
        <x:v>HOLD</x:v>
      </x:c>
      <x:c r="M11" s="10" t="str">
        <x:v>CAM1-4 dedicated RS-422; CAM5-10 uncommissioned</x:v>
      </x:c>
      <x:c r="N11" s="10" t="str"/>
      <x:c r="O11" s="10" t="str">
        <x:v>https://www.apem.com/storage/datasheets/files/MEC_switches_serie_1K_1KB_1KC/media/MEC-switches-serie-1K-1KB-1KC.pdf</x:v>
      </x:c>
    </x:row>
    <x:row r="12" ht="54" customHeight="1">
      <x:c r="A12" s="11" t="str">
        <x:v>CAM6</x:v>
      </x:c>
      <x:c r="B12" s="11" t="str">
        <x:v>CAM 6</x:v>
      </x:c>
      <x:c r="C12" s="11" t="str">
        <x:v>1KC</x:v>
      </x:c>
      <x:c r="D12" s="16" t="n">
        <x:v>190</x:v>
      </x:c>
      <x:c r="E12" s="16" t="n">
        <x:v>26</x:v>
      </x:c>
      <x:c r="F12" s="15" t="n">
        <x:f>E12*COS(RADIANS('Enclosure'!$B$9))</x:f>
        <x:v>25.60500157831741</x:v>
      </x:c>
      <x:c r="G12" s="15" t="n">
        <x:f>'Enclosure'!$B$10+E12*SIN(RADIANS('Enclosure'!$B$9))</x:f>
        <x:v>59.51485261934019</x:v>
      </x:c>
      <x:c r="H12" s="15" t="n">
        <x:v>17.75</x:v>
      </x:c>
      <x:c r="I12" s="15" t="n">
        <x:v>17.75</x:v>
      </x:c>
      <x:c r="J12" s="11" t="str">
        <x:v>14.7 square minimum uncoated family reference; coated cutout HOLD</x:v>
      </x:c>
      <x:c r="K12" s="11" t="str">
        <x:f>IF(AND(D12-H12/2&gt;=10,D12+H12/2&lt;='Enclosure'!$B$7-10,E12-I12/2&gt;=15,E12+I12/2&lt;='Enclosure'!$B$8-15),"WITHIN TRIAL BOUNDS","OUTSIDE BOUNDS")</x:f>
        <x:v>WITHIN TRIAL BOUNDS</x:v>
      </x:c>
      <x:c r="L12" s="11" t="str">
        <x:v>HOLD</x:v>
      </x:c>
      <x:c r="M12" s="11" t="str">
        <x:v>CAM1-4 dedicated RS-422; CAM5-10 uncommissioned</x:v>
      </x:c>
      <x:c r="N12" s="11" t="str"/>
      <x:c r="O12" s="11" t="str">
        <x:v>https://www.apem.com/storage/datasheets/files/MEC_switches_serie_1K_1KB_1KC/media/MEC-switches-serie-1K-1KB-1KC.pdf</x:v>
      </x:c>
    </x:row>
    <x:row r="13" ht="54" customHeight="1">
      <x:c r="A13" s="10" t="str">
        <x:v>CAM7</x:v>
      </x:c>
      <x:c r="B13" s="10" t="str">
        <x:v>CAM 7</x:v>
      </x:c>
      <x:c r="C13" s="10" t="str">
        <x:v>1KC</x:v>
      </x:c>
      <x:c r="D13" s="16" t="n">
        <x:v>212</x:v>
      </x:c>
      <x:c r="E13" s="16" t="n">
        <x:v>26</x:v>
      </x:c>
      <x:c r="F13" s="14" t="n">
        <x:f>E13*COS(RADIANS('Enclosure'!$B$9))</x:f>
        <x:v>25.60500157831741</x:v>
      </x:c>
      <x:c r="G13" s="14" t="n">
        <x:f>'Enclosure'!$B$10+E13*SIN(RADIANS('Enclosure'!$B$9))</x:f>
        <x:v>59.51485261934019</x:v>
      </x:c>
      <x:c r="H13" s="14" t="n">
        <x:v>17.75</x:v>
      </x:c>
      <x:c r="I13" s="14" t="n">
        <x:v>17.75</x:v>
      </x:c>
      <x:c r="J13" s="10" t="str">
        <x:v>14.7 square minimum uncoated family reference; coated cutout HOLD</x:v>
      </x:c>
      <x:c r="K13" s="10" t="str">
        <x:f>IF(AND(D13-H13/2&gt;=10,D13+H13/2&lt;='Enclosure'!$B$7-10,E13-I13/2&gt;=15,E13+I13/2&lt;='Enclosure'!$B$8-15),"WITHIN TRIAL BOUNDS","OUTSIDE BOUNDS")</x:f>
        <x:v>WITHIN TRIAL BOUNDS</x:v>
      </x:c>
      <x:c r="L13" s="10" t="str">
        <x:v>HOLD</x:v>
      </x:c>
      <x:c r="M13" s="10" t="str">
        <x:v>CAM1-4 dedicated RS-422; CAM5-10 uncommissioned</x:v>
      </x:c>
      <x:c r="N13" s="10" t="str"/>
      <x:c r="O13" s="10" t="str">
        <x:v>https://www.apem.com/storage/datasheets/files/MEC_switches_serie_1K_1KB_1KC/media/MEC-switches-serie-1K-1KB-1KC.pdf</x:v>
      </x:c>
    </x:row>
    <x:row r="14" ht="54" customHeight="1">
      <x:c r="A14" s="11" t="str">
        <x:v>CAM8</x:v>
      </x:c>
      <x:c r="B14" s="11" t="str">
        <x:v>CAM 8</x:v>
      </x:c>
      <x:c r="C14" s="11" t="str">
        <x:v>1KC</x:v>
      </x:c>
      <x:c r="D14" s="16" t="n">
        <x:v>234</x:v>
      </x:c>
      <x:c r="E14" s="16" t="n">
        <x:v>26</x:v>
      </x:c>
      <x:c r="F14" s="15" t="n">
        <x:f>E14*COS(RADIANS('Enclosure'!$B$9))</x:f>
        <x:v>25.60500157831741</x:v>
      </x:c>
      <x:c r="G14" s="15" t="n">
        <x:f>'Enclosure'!$B$10+E14*SIN(RADIANS('Enclosure'!$B$9))</x:f>
        <x:v>59.51485261934019</x:v>
      </x:c>
      <x:c r="H14" s="15" t="n">
        <x:v>17.75</x:v>
      </x:c>
      <x:c r="I14" s="15" t="n">
        <x:v>17.75</x:v>
      </x:c>
      <x:c r="J14" s="11" t="str">
        <x:v>14.7 square minimum uncoated family reference; coated cutout HOLD</x:v>
      </x:c>
      <x:c r="K14" s="11" t="str">
        <x:f>IF(AND(D14-H14/2&gt;=10,D14+H14/2&lt;='Enclosure'!$B$7-10,E14-I14/2&gt;=15,E14+I14/2&lt;='Enclosure'!$B$8-15),"WITHIN TRIAL BOUNDS","OUTSIDE BOUNDS")</x:f>
        <x:v>WITHIN TRIAL BOUNDS</x:v>
      </x:c>
      <x:c r="L14" s="11" t="str">
        <x:v>HOLD</x:v>
      </x:c>
      <x:c r="M14" s="11" t="str">
        <x:v>CAM1-4 dedicated RS-422; CAM5-10 uncommissioned</x:v>
      </x:c>
      <x:c r="N14" s="11" t="str"/>
      <x:c r="O14" s="11" t="str">
        <x:v>https://www.apem.com/storage/datasheets/files/MEC_switches_serie_1K_1KB_1KC/media/MEC-switches-serie-1K-1KB-1KC.pdf</x:v>
      </x:c>
    </x:row>
    <x:row r="15" ht="54" customHeight="1">
      <x:c r="A15" s="10" t="str">
        <x:v>CAM9</x:v>
      </x:c>
      <x:c r="B15" s="10" t="str">
        <x:v>CAM 9</x:v>
      </x:c>
      <x:c r="C15" s="10" t="str">
        <x:v>1KC</x:v>
      </x:c>
      <x:c r="D15" s="16" t="n">
        <x:v>256</x:v>
      </x:c>
      <x:c r="E15" s="16" t="n">
        <x:v>26</x:v>
      </x:c>
      <x:c r="F15" s="14" t="n">
        <x:f>E15*COS(RADIANS('Enclosure'!$B$9))</x:f>
        <x:v>25.60500157831741</x:v>
      </x:c>
      <x:c r="G15" s="14" t="n">
        <x:f>'Enclosure'!$B$10+E15*SIN(RADIANS('Enclosure'!$B$9))</x:f>
        <x:v>59.51485261934019</x:v>
      </x:c>
      <x:c r="H15" s="14" t="n">
        <x:v>17.75</x:v>
      </x:c>
      <x:c r="I15" s="14" t="n">
        <x:v>17.75</x:v>
      </x:c>
      <x:c r="J15" s="10" t="str">
        <x:v>14.7 square minimum uncoated family reference; coated cutout HOLD</x:v>
      </x:c>
      <x:c r="K15" s="10" t="str">
        <x:f>IF(AND(D15-H15/2&gt;=10,D15+H15/2&lt;='Enclosure'!$B$7-10,E15-I15/2&gt;=15,E15+I15/2&lt;='Enclosure'!$B$8-15),"WITHIN TRIAL BOUNDS","OUTSIDE BOUNDS")</x:f>
        <x:v>WITHIN TRIAL BOUNDS</x:v>
      </x:c>
      <x:c r="L15" s="10" t="str">
        <x:v>HOLD</x:v>
      </x:c>
      <x:c r="M15" s="10" t="str">
        <x:v>CAM1-4 dedicated RS-422; CAM5-10 uncommissioned</x:v>
      </x:c>
      <x:c r="N15" s="10" t="str"/>
      <x:c r="O15" s="10" t="str">
        <x:v>https://www.apem.com/storage/datasheets/files/MEC_switches_serie_1K_1KB_1KC/media/MEC-switches-serie-1K-1KB-1KC.pdf</x:v>
      </x:c>
    </x:row>
    <x:row r="16" ht="54" customHeight="1">
      <x:c r="A16" s="11" t="str">
        <x:v>CAM10</x:v>
      </x:c>
      <x:c r="B16" s="11" t="str">
        <x:v>CAM 10</x:v>
      </x:c>
      <x:c r="C16" s="11" t="str">
        <x:v>1KC</x:v>
      </x:c>
      <x:c r="D16" s="16" t="n">
        <x:v>278</x:v>
      </x:c>
      <x:c r="E16" s="16" t="n">
        <x:v>26</x:v>
      </x:c>
      <x:c r="F16" s="15" t="n">
        <x:f>E16*COS(RADIANS('Enclosure'!$B$9))</x:f>
        <x:v>25.60500157831741</x:v>
      </x:c>
      <x:c r="G16" s="15" t="n">
        <x:f>'Enclosure'!$B$10+E16*SIN(RADIANS('Enclosure'!$B$9))</x:f>
        <x:v>59.51485261934019</x:v>
      </x:c>
      <x:c r="H16" s="15" t="n">
        <x:v>17.75</x:v>
      </x:c>
      <x:c r="I16" s="15" t="n">
        <x:v>17.75</x:v>
      </x:c>
      <x:c r="J16" s="11" t="str">
        <x:v>14.7 square minimum uncoated family reference; coated cutout HOLD</x:v>
      </x:c>
      <x:c r="K16" s="11" t="str">
        <x:f>IF(AND(D16-H16/2&gt;=10,D16+H16/2&lt;='Enclosure'!$B$7-10,E16-I16/2&gt;=15,E16+I16/2&lt;='Enclosure'!$B$8-15),"WITHIN TRIAL BOUNDS","OUTSIDE BOUNDS")</x:f>
        <x:v>WITHIN TRIAL BOUNDS</x:v>
      </x:c>
      <x:c r="L16" s="11" t="str">
        <x:v>HOLD</x:v>
      </x:c>
      <x:c r="M16" s="11" t="str">
        <x:v>CAM1-4 dedicated RS-422; CAM5-10 uncommissioned</x:v>
      </x:c>
      <x:c r="N16" s="11" t="str"/>
      <x:c r="O16" s="11" t="str">
        <x:v>https://www.apem.com/storage/datasheets/files/MEC_switches_serie_1K_1KB_1KC/media/MEC-switches-serie-1K-1KB-1KC.pdf</x:v>
      </x:c>
    </x:row>
    <x:row r="17" ht="54" customHeight="1">
      <x:c r="A17" s="10" t="str">
        <x:v>P1</x:v>
      </x:c>
      <x:c r="B17" s="10" t="str">
        <x:v>P1</x:v>
      </x:c>
      <x:c r="C17" s="10" t="str">
        <x:v>1KC</x:v>
      </x:c>
      <x:c r="D17" s="16" t="n">
        <x:v>30</x:v>
      </x:c>
      <x:c r="E17" s="16" t="n">
        <x:v>70</x:v>
      </x:c>
      <x:c r="F17" s="14" t="n">
        <x:f>E17*COS(RADIANS('Enclosure'!$B$9))</x:f>
        <x:v>68.93654271085457</x:v>
      </x:c>
      <x:c r="G17" s="14" t="n">
        <x:f>'Enclosure'!$B$10+E17*SIN(RADIANS('Enclosure'!$B$9))</x:f>
        <x:v>67.15537243668513</x:v>
      </x:c>
      <x:c r="H17" s="14" t="n">
        <x:v>17.75</x:v>
      </x:c>
      <x:c r="I17" s="14" t="n">
        <x:v>17.75</x:v>
      </x:c>
      <x:c r="J17" s="10" t="str">
        <x:v>14.7 square minimum family reference; coated cutout HOLD</x:v>
      </x:c>
      <x:c r="K17" s="10" t="str">
        <x:f>IF(AND(D17-H17/2&gt;=10,D17+H17/2&lt;='Enclosure'!$B$7-10,E17-I17/2&gt;=15,E17+I17/2&lt;='Enclosure'!$B$8-15),"WITHIN TRIAL BOUNDS","OUTSIDE BOUNDS")</x:f>
        <x:v>WITHIN TRIAL BOUNDS</x:v>
      </x:c>
      <x:c r="L17" s="10" t="str">
        <x:v>HOLD</x:v>
      </x:c>
      <x:c r="M17" s="10" t="str">
        <x:v>Four visual columns of three; operates selected camera</x:v>
      </x:c>
      <x:c r="N17" s="10" t="str"/>
      <x:c r="O17" s="10" t="str">
        <x:v>https://www.apem.com/storage/datasheets/files/MEC_switches_serie_1K_1KB_1KC/media/MEC-switches-serie-1K-1KB-1KC.pdf</x:v>
      </x:c>
    </x:row>
    <x:row r="18" ht="54" customHeight="1">
      <x:c r="A18" s="11" t="str">
        <x:v>P2</x:v>
      </x:c>
      <x:c r="B18" s="11" t="str">
        <x:v>P2</x:v>
      </x:c>
      <x:c r="C18" s="11" t="str">
        <x:v>1KC</x:v>
      </x:c>
      <x:c r="D18" s="16" t="n">
        <x:v>30</x:v>
      </x:c>
      <x:c r="E18" s="16" t="n">
        <x:v>48</x:v>
      </x:c>
      <x:c r="F18" s="15" t="n">
        <x:f>E18*COS(RADIANS('Enclosure'!$B$9))</x:f>
        <x:v>47.27077214458598</x:v>
      </x:c>
      <x:c r="G18" s="15" t="n">
        <x:f>'Enclosure'!$B$10+E18*SIN(RADIANS('Enclosure'!$B$9))</x:f>
        <x:v>63.33511252801266</x:v>
      </x:c>
      <x:c r="H18" s="15" t="n">
        <x:v>17.75</x:v>
      </x:c>
      <x:c r="I18" s="15" t="n">
        <x:v>17.75</x:v>
      </x:c>
      <x:c r="J18" s="11" t="str">
        <x:v>14.7 square minimum family reference; coated cutout HOLD</x:v>
      </x:c>
      <x:c r="K18" s="11" t="str">
        <x:f>IF(AND(D18-H18/2&gt;=10,D18+H18/2&lt;='Enclosure'!$B$7-10,E18-I18/2&gt;=15,E18+I18/2&lt;='Enclosure'!$B$8-15),"WITHIN TRIAL BOUNDS","OUTSIDE BOUNDS")</x:f>
        <x:v>WITHIN TRIAL BOUNDS</x:v>
      </x:c>
      <x:c r="L18" s="11" t="str">
        <x:v>HOLD</x:v>
      </x:c>
      <x:c r="M18" s="11" t="str">
        <x:v>Four visual columns of three; operates selected camera</x:v>
      </x:c>
      <x:c r="N18" s="11" t="str"/>
      <x:c r="O18" s="11" t="str">
        <x:v>https://www.apem.com/storage/datasheets/files/MEC_switches_serie_1K_1KB_1KC/media/MEC-switches-serie-1K-1KB-1KC.pdf</x:v>
      </x:c>
    </x:row>
    <x:row r="19" ht="54" customHeight="1">
      <x:c r="A19" s="10" t="str">
        <x:v>P3</x:v>
      </x:c>
      <x:c r="B19" s="10" t="str">
        <x:v>P3</x:v>
      </x:c>
      <x:c r="C19" s="10" t="str">
        <x:v>1KC</x:v>
      </x:c>
      <x:c r="D19" s="16" t="n">
        <x:v>30</x:v>
      </x:c>
      <x:c r="E19" s="16" t="n">
        <x:v>26</x:v>
      </x:c>
      <x:c r="F19" s="14" t="n">
        <x:f>E19*COS(RADIANS('Enclosure'!$B$9))</x:f>
        <x:v>25.60500157831741</x:v>
      </x:c>
      <x:c r="G19" s="14" t="n">
        <x:f>'Enclosure'!$B$10+E19*SIN(RADIANS('Enclosure'!$B$9))</x:f>
        <x:v>59.51485261934019</x:v>
      </x:c>
      <x:c r="H19" s="14" t="n">
        <x:v>17.75</x:v>
      </x:c>
      <x:c r="I19" s="14" t="n">
        <x:v>17.75</x:v>
      </x:c>
      <x:c r="J19" s="10" t="str">
        <x:v>14.7 square minimum family reference; coated cutout HOLD</x:v>
      </x:c>
      <x:c r="K19" s="10" t="str">
        <x:f>IF(AND(D19-H19/2&gt;=10,D19+H19/2&lt;='Enclosure'!$B$7-10,E19-I19/2&gt;=15,E19+I19/2&lt;='Enclosure'!$B$8-15),"WITHIN TRIAL BOUNDS","OUTSIDE BOUNDS")</x:f>
        <x:v>WITHIN TRIAL BOUNDS</x:v>
      </x:c>
      <x:c r="L19" s="10" t="str">
        <x:v>HOLD</x:v>
      </x:c>
      <x:c r="M19" s="10" t="str">
        <x:v>Four visual columns of three; operates selected camera</x:v>
      </x:c>
      <x:c r="N19" s="10" t="str"/>
      <x:c r="O19" s="10" t="str">
        <x:v>https://www.apem.com/storage/datasheets/files/MEC_switches_serie_1K_1KB_1KC/media/MEC-switches-serie-1K-1KB-1KC.pdf</x:v>
      </x:c>
    </x:row>
    <x:row r="20" ht="54" customHeight="1">
      <x:c r="A20" s="11" t="str">
        <x:v>P4</x:v>
      </x:c>
      <x:c r="B20" s="11" t="str">
        <x:v>P4</x:v>
      </x:c>
      <x:c r="C20" s="11" t="str">
        <x:v>1KC</x:v>
      </x:c>
      <x:c r="D20" s="16" t="n">
        <x:v>64</x:v>
      </x:c>
      <x:c r="E20" s="16" t="n">
        <x:v>70</x:v>
      </x:c>
      <x:c r="F20" s="15" t="n">
        <x:f>E20*COS(RADIANS('Enclosure'!$B$9))</x:f>
        <x:v>68.93654271085457</x:v>
      </x:c>
      <x:c r="G20" s="15" t="n">
        <x:f>'Enclosure'!$B$10+E20*SIN(RADIANS('Enclosure'!$B$9))</x:f>
        <x:v>67.15537243668513</x:v>
      </x:c>
      <x:c r="H20" s="15" t="n">
        <x:v>17.75</x:v>
      </x:c>
      <x:c r="I20" s="15" t="n">
        <x:v>17.75</x:v>
      </x:c>
      <x:c r="J20" s="11" t="str">
        <x:v>14.7 square minimum family reference; coated cutout HOLD</x:v>
      </x:c>
      <x:c r="K20" s="11" t="str">
        <x:f>IF(AND(D20-H20/2&gt;=10,D20+H20/2&lt;='Enclosure'!$B$7-10,E20-I20/2&gt;=15,E20+I20/2&lt;='Enclosure'!$B$8-15),"WITHIN TRIAL BOUNDS","OUTSIDE BOUNDS")</x:f>
        <x:v>WITHIN TRIAL BOUNDS</x:v>
      </x:c>
      <x:c r="L20" s="11" t="str">
        <x:v>HOLD</x:v>
      </x:c>
      <x:c r="M20" s="11" t="str">
        <x:v>Four visual columns of three; operates selected camera</x:v>
      </x:c>
      <x:c r="N20" s="11" t="str"/>
      <x:c r="O20" s="11" t="str">
        <x:v>https://www.apem.com/storage/datasheets/files/MEC_switches_serie_1K_1KB_1KC/media/MEC-switches-serie-1K-1KB-1KC.pdf</x:v>
      </x:c>
    </x:row>
    <x:row r="21" ht="54" customHeight="1">
      <x:c r="A21" s="10" t="str">
        <x:v>P5</x:v>
      </x:c>
      <x:c r="B21" s="10" t="str">
        <x:v>P5</x:v>
      </x:c>
      <x:c r="C21" s="10" t="str">
        <x:v>1KC</x:v>
      </x:c>
      <x:c r="D21" s="16" t="n">
        <x:v>64</x:v>
      </x:c>
      <x:c r="E21" s="16" t="n">
        <x:v>48</x:v>
      </x:c>
      <x:c r="F21" s="14" t="n">
        <x:f>E21*COS(RADIANS('Enclosure'!$B$9))</x:f>
        <x:v>47.27077214458598</x:v>
      </x:c>
      <x:c r="G21" s="14" t="n">
        <x:f>'Enclosure'!$B$10+E21*SIN(RADIANS('Enclosure'!$B$9))</x:f>
        <x:v>63.33511252801266</x:v>
      </x:c>
      <x:c r="H21" s="14" t="n">
        <x:v>17.75</x:v>
      </x:c>
      <x:c r="I21" s="14" t="n">
        <x:v>17.75</x:v>
      </x:c>
      <x:c r="J21" s="10" t="str">
        <x:v>14.7 square minimum family reference; coated cutout HOLD</x:v>
      </x:c>
      <x:c r="K21" s="10" t="str">
        <x:f>IF(AND(D21-H21/2&gt;=10,D21+H21/2&lt;='Enclosure'!$B$7-10,E21-I21/2&gt;=15,E21+I21/2&lt;='Enclosure'!$B$8-15),"WITHIN TRIAL BOUNDS","OUTSIDE BOUNDS")</x:f>
        <x:v>WITHIN TRIAL BOUNDS</x:v>
      </x:c>
      <x:c r="L21" s="10" t="str">
        <x:v>HOLD</x:v>
      </x:c>
      <x:c r="M21" s="10" t="str">
        <x:v>Four visual columns of three; operates selected camera</x:v>
      </x:c>
      <x:c r="N21" s="10" t="str"/>
      <x:c r="O21" s="10" t="str">
        <x:v>https://www.apem.com/storage/datasheets/files/MEC_switches_serie_1K_1KB_1KC/media/MEC-switches-serie-1K-1KB-1KC.pdf</x:v>
      </x:c>
    </x:row>
    <x:row r="22" ht="54" customHeight="1">
      <x:c r="A22" s="11" t="str">
        <x:v>P6</x:v>
      </x:c>
      <x:c r="B22" s="11" t="str">
        <x:v>P6</x:v>
      </x:c>
      <x:c r="C22" s="11" t="str">
        <x:v>1KC</x:v>
      </x:c>
      <x:c r="D22" s="16" t="n">
        <x:v>64</x:v>
      </x:c>
      <x:c r="E22" s="16" t="n">
        <x:v>26</x:v>
      </x:c>
      <x:c r="F22" s="15" t="n">
        <x:f>E22*COS(RADIANS('Enclosure'!$B$9))</x:f>
        <x:v>25.60500157831741</x:v>
      </x:c>
      <x:c r="G22" s="15" t="n">
        <x:f>'Enclosure'!$B$10+E22*SIN(RADIANS('Enclosure'!$B$9))</x:f>
        <x:v>59.51485261934019</x:v>
      </x:c>
      <x:c r="H22" s="15" t="n">
        <x:v>17.75</x:v>
      </x:c>
      <x:c r="I22" s="15" t="n">
        <x:v>17.75</x:v>
      </x:c>
      <x:c r="J22" s="11" t="str">
        <x:v>14.7 square minimum family reference; coated cutout HOLD</x:v>
      </x:c>
      <x:c r="K22" s="11" t="str">
        <x:f>IF(AND(D22-H22/2&gt;=10,D22+H22/2&lt;='Enclosure'!$B$7-10,E22-I22/2&gt;=15,E22+I22/2&lt;='Enclosure'!$B$8-15),"WITHIN TRIAL BOUNDS","OUTSIDE BOUNDS")</x:f>
        <x:v>WITHIN TRIAL BOUNDS</x:v>
      </x:c>
      <x:c r="L22" s="11" t="str">
        <x:v>HOLD</x:v>
      </x:c>
      <x:c r="M22" s="11" t="str">
        <x:v>Four visual columns of three; operates selected camera</x:v>
      </x:c>
      <x:c r="N22" s="11" t="str"/>
      <x:c r="O22" s="11" t="str">
        <x:v>https://www.apem.com/storage/datasheets/files/MEC_switches_serie_1K_1KB_1KC/media/MEC-switches-serie-1K-1KB-1KC.pdf</x:v>
      </x:c>
    </x:row>
    <x:row r="23" ht="54" customHeight="1">
      <x:c r="A23" s="10" t="str">
        <x:v>P7</x:v>
      </x:c>
      <x:c r="B23" s="10" t="str">
        <x:v>P7</x:v>
      </x:c>
      <x:c r="C23" s="10" t="str">
        <x:v>1KC</x:v>
      </x:c>
      <x:c r="D23" s="16" t="n">
        <x:v>98</x:v>
      </x:c>
      <x:c r="E23" s="16" t="n">
        <x:v>70</x:v>
      </x:c>
      <x:c r="F23" s="14" t="n">
        <x:f>E23*COS(RADIANS('Enclosure'!$B$9))</x:f>
        <x:v>68.93654271085457</x:v>
      </x:c>
      <x:c r="G23" s="14" t="n">
        <x:f>'Enclosure'!$B$10+E23*SIN(RADIANS('Enclosure'!$B$9))</x:f>
        <x:v>67.15537243668513</x:v>
      </x:c>
      <x:c r="H23" s="14" t="n">
        <x:v>17.75</x:v>
      </x:c>
      <x:c r="I23" s="14" t="n">
        <x:v>17.75</x:v>
      </x:c>
      <x:c r="J23" s="10" t="str">
        <x:v>14.7 square minimum family reference; coated cutout HOLD</x:v>
      </x:c>
      <x:c r="K23" s="10" t="str">
        <x:f>IF(AND(D23-H23/2&gt;=10,D23+H23/2&lt;='Enclosure'!$B$7-10,E23-I23/2&gt;=15,E23+I23/2&lt;='Enclosure'!$B$8-15),"WITHIN TRIAL BOUNDS","OUTSIDE BOUNDS")</x:f>
        <x:v>WITHIN TRIAL BOUNDS</x:v>
      </x:c>
      <x:c r="L23" s="10" t="str">
        <x:v>HOLD</x:v>
      </x:c>
      <x:c r="M23" s="10" t="str">
        <x:v>Four visual columns of three; operates selected camera</x:v>
      </x:c>
      <x:c r="N23" s="10" t="str"/>
      <x:c r="O23" s="10" t="str">
        <x:v>https://www.apem.com/storage/datasheets/files/MEC_switches_serie_1K_1KB_1KC/media/MEC-switches-serie-1K-1KB-1KC.pdf</x:v>
      </x:c>
    </x:row>
    <x:row r="24" ht="54" customHeight="1">
      <x:c r="A24" s="11" t="str">
        <x:v>P8</x:v>
      </x:c>
      <x:c r="B24" s="11" t="str">
        <x:v>P8</x:v>
      </x:c>
      <x:c r="C24" s="11" t="str">
        <x:v>1KC</x:v>
      </x:c>
      <x:c r="D24" s="16" t="n">
        <x:v>98</x:v>
      </x:c>
      <x:c r="E24" s="16" t="n">
        <x:v>48</x:v>
      </x:c>
      <x:c r="F24" s="15" t="n">
        <x:f>E24*COS(RADIANS('Enclosure'!$B$9))</x:f>
        <x:v>47.27077214458598</x:v>
      </x:c>
      <x:c r="G24" s="15" t="n">
        <x:f>'Enclosure'!$B$10+E24*SIN(RADIANS('Enclosure'!$B$9))</x:f>
        <x:v>63.33511252801266</x:v>
      </x:c>
      <x:c r="H24" s="15" t="n">
        <x:v>17.75</x:v>
      </x:c>
      <x:c r="I24" s="15" t="n">
        <x:v>17.75</x:v>
      </x:c>
      <x:c r="J24" s="11" t="str">
        <x:v>14.7 square minimum family reference; coated cutout HOLD</x:v>
      </x:c>
      <x:c r="K24" s="11" t="str">
        <x:f>IF(AND(D24-H24/2&gt;=10,D24+H24/2&lt;='Enclosure'!$B$7-10,E24-I24/2&gt;=15,E24+I24/2&lt;='Enclosure'!$B$8-15),"WITHIN TRIAL BOUNDS","OUTSIDE BOUNDS")</x:f>
        <x:v>WITHIN TRIAL BOUNDS</x:v>
      </x:c>
      <x:c r="L24" s="11" t="str">
        <x:v>HOLD</x:v>
      </x:c>
      <x:c r="M24" s="11" t="str">
        <x:v>Four visual columns of three; operates selected camera</x:v>
      </x:c>
      <x:c r="N24" s="11" t="str"/>
      <x:c r="O24" s="11" t="str">
        <x:v>https://www.apem.com/storage/datasheets/files/MEC_switches_serie_1K_1KB_1KC/media/MEC-switches-serie-1K-1KB-1KC.pdf</x:v>
      </x:c>
    </x:row>
    <x:row r="25" ht="54" customHeight="1">
      <x:c r="A25" s="10" t="str">
        <x:v>P9</x:v>
      </x:c>
      <x:c r="B25" s="10" t="str">
        <x:v>P9</x:v>
      </x:c>
      <x:c r="C25" s="10" t="str">
        <x:v>1KC</x:v>
      </x:c>
      <x:c r="D25" s="16" t="n">
        <x:v>98</x:v>
      </x:c>
      <x:c r="E25" s="16" t="n">
        <x:v>26</x:v>
      </x:c>
      <x:c r="F25" s="14" t="n">
        <x:f>E25*COS(RADIANS('Enclosure'!$B$9))</x:f>
        <x:v>25.60500157831741</x:v>
      </x:c>
      <x:c r="G25" s="14" t="n">
        <x:f>'Enclosure'!$B$10+E25*SIN(RADIANS('Enclosure'!$B$9))</x:f>
        <x:v>59.51485261934019</x:v>
      </x:c>
      <x:c r="H25" s="14" t="n">
        <x:v>17.75</x:v>
      </x:c>
      <x:c r="I25" s="14" t="n">
        <x:v>17.75</x:v>
      </x:c>
      <x:c r="J25" s="10" t="str">
        <x:v>14.7 square minimum family reference; coated cutout HOLD</x:v>
      </x:c>
      <x:c r="K25" s="10" t="str">
        <x:f>IF(AND(D25-H25/2&gt;=10,D25+H25/2&lt;='Enclosure'!$B$7-10,E25-I25/2&gt;=15,E25+I25/2&lt;='Enclosure'!$B$8-15),"WITHIN TRIAL BOUNDS","OUTSIDE BOUNDS")</x:f>
        <x:v>WITHIN TRIAL BOUNDS</x:v>
      </x:c>
      <x:c r="L25" s="10" t="str">
        <x:v>HOLD</x:v>
      </x:c>
      <x:c r="M25" s="10" t="str">
        <x:v>Four visual columns of three; operates selected camera</x:v>
      </x:c>
      <x:c r="N25" s="10" t="str"/>
      <x:c r="O25" s="10" t="str">
        <x:v>https://www.apem.com/storage/datasheets/files/MEC_switches_serie_1K_1KB_1KC/media/MEC-switches-serie-1K-1KB-1KC.pdf</x:v>
      </x:c>
    </x:row>
    <x:row r="26" ht="54" customHeight="1">
      <x:c r="A26" s="11" t="str">
        <x:v>P10</x:v>
      </x:c>
      <x:c r="B26" s="11" t="str">
        <x:v>P10</x:v>
      </x:c>
      <x:c r="C26" s="11" t="str">
        <x:v>1KC</x:v>
      </x:c>
      <x:c r="D26" s="16" t="n">
        <x:v>132</x:v>
      </x:c>
      <x:c r="E26" s="16" t="n">
        <x:v>70</x:v>
      </x:c>
      <x:c r="F26" s="15" t="n">
        <x:f>E26*COS(RADIANS('Enclosure'!$B$9))</x:f>
        <x:v>68.93654271085457</x:v>
      </x:c>
      <x:c r="G26" s="15" t="n">
        <x:f>'Enclosure'!$B$10+E26*SIN(RADIANS('Enclosure'!$B$9))</x:f>
        <x:v>67.15537243668513</x:v>
      </x:c>
      <x:c r="H26" s="15" t="n">
        <x:v>17.75</x:v>
      </x:c>
      <x:c r="I26" s="15" t="n">
        <x:v>17.75</x:v>
      </x:c>
      <x:c r="J26" s="11" t="str">
        <x:v>14.7 square minimum family reference; coated cutout HOLD</x:v>
      </x:c>
      <x:c r="K26" s="11" t="str">
        <x:f>IF(AND(D26-H26/2&gt;=10,D26+H26/2&lt;='Enclosure'!$B$7-10,E26-I26/2&gt;=15,E26+I26/2&lt;='Enclosure'!$B$8-15),"WITHIN TRIAL BOUNDS","OUTSIDE BOUNDS")</x:f>
        <x:v>WITHIN TRIAL BOUNDS</x:v>
      </x:c>
      <x:c r="L26" s="11" t="str">
        <x:v>HOLD</x:v>
      </x:c>
      <x:c r="M26" s="11" t="str">
        <x:v>Four visual columns of three; operates selected camera</x:v>
      </x:c>
      <x:c r="N26" s="11" t="str"/>
      <x:c r="O26" s="11" t="str">
        <x:v>https://www.apem.com/storage/datasheets/files/MEC_switches_serie_1K_1KB_1KC/media/MEC-switches-serie-1K-1KB-1KC.pdf</x:v>
      </x:c>
    </x:row>
    <x:row r="27" ht="54" customHeight="1">
      <x:c r="A27" s="10" t="str">
        <x:v>P11</x:v>
      </x:c>
      <x:c r="B27" s="10" t="str">
        <x:v>P11</x:v>
      </x:c>
      <x:c r="C27" s="10" t="str">
        <x:v>1KC</x:v>
      </x:c>
      <x:c r="D27" s="16" t="n">
        <x:v>132</x:v>
      </x:c>
      <x:c r="E27" s="16" t="n">
        <x:v>48</x:v>
      </x:c>
      <x:c r="F27" s="14" t="n">
        <x:f>E27*COS(RADIANS('Enclosure'!$B$9))</x:f>
        <x:v>47.27077214458598</x:v>
      </x:c>
      <x:c r="G27" s="14" t="n">
        <x:f>'Enclosure'!$B$10+E27*SIN(RADIANS('Enclosure'!$B$9))</x:f>
        <x:v>63.33511252801266</x:v>
      </x:c>
      <x:c r="H27" s="14" t="n">
        <x:v>17.75</x:v>
      </x:c>
      <x:c r="I27" s="14" t="n">
        <x:v>17.75</x:v>
      </x:c>
      <x:c r="J27" s="10" t="str">
        <x:v>14.7 square minimum family reference; coated cutout HOLD</x:v>
      </x:c>
      <x:c r="K27" s="10" t="str">
        <x:f>IF(AND(D27-H27/2&gt;=10,D27+H27/2&lt;='Enclosure'!$B$7-10,E27-I27/2&gt;=15,E27+I27/2&lt;='Enclosure'!$B$8-15),"WITHIN TRIAL BOUNDS","OUTSIDE BOUNDS")</x:f>
        <x:v>WITHIN TRIAL BOUNDS</x:v>
      </x:c>
      <x:c r="L27" s="10" t="str">
        <x:v>HOLD</x:v>
      </x:c>
      <x:c r="M27" s="10" t="str">
        <x:v>Four visual columns of three; operates selected camera</x:v>
      </x:c>
      <x:c r="N27" s="10" t="str"/>
      <x:c r="O27" s="10" t="str">
        <x:v>https://www.apem.com/storage/datasheets/files/MEC_switches_serie_1K_1KB_1KC/media/MEC-switches-serie-1K-1KB-1KC.pdf</x:v>
      </x:c>
    </x:row>
    <x:row r="28" ht="54" customHeight="1">
      <x:c r="A28" s="11" t="str">
        <x:v>P12</x:v>
      </x:c>
      <x:c r="B28" s="11" t="str">
        <x:v>P12</x:v>
      </x:c>
      <x:c r="C28" s="11" t="str">
        <x:v>1KC</x:v>
      </x:c>
      <x:c r="D28" s="16" t="n">
        <x:v>132</x:v>
      </x:c>
      <x:c r="E28" s="16" t="n">
        <x:v>26</x:v>
      </x:c>
      <x:c r="F28" s="15" t="n">
        <x:f>E28*COS(RADIANS('Enclosure'!$B$9))</x:f>
        <x:v>25.60500157831741</x:v>
      </x:c>
      <x:c r="G28" s="15" t="n">
        <x:f>'Enclosure'!$B$10+E28*SIN(RADIANS('Enclosure'!$B$9))</x:f>
        <x:v>59.51485261934019</x:v>
      </x:c>
      <x:c r="H28" s="15" t="n">
        <x:v>17.75</x:v>
      </x:c>
      <x:c r="I28" s="15" t="n">
        <x:v>17.75</x:v>
      </x:c>
      <x:c r="J28" s="11" t="str">
        <x:v>14.7 square minimum family reference; coated cutout HOLD</x:v>
      </x:c>
      <x:c r="K28" s="11" t="str">
        <x:f>IF(AND(D28-H28/2&gt;=10,D28+H28/2&lt;='Enclosure'!$B$7-10,E28-I28/2&gt;=15,E28+I28/2&lt;='Enclosure'!$B$8-15),"WITHIN TRIAL BOUNDS","OUTSIDE BOUNDS")</x:f>
        <x:v>WITHIN TRIAL BOUNDS</x:v>
      </x:c>
      <x:c r="L28" s="11" t="str">
        <x:v>HOLD</x:v>
      </x:c>
      <x:c r="M28" s="11" t="str">
        <x:v>Four visual columns of three; operates selected camera</x:v>
      </x:c>
      <x:c r="N28" s="11" t="str"/>
      <x:c r="O28" s="11" t="str">
        <x:v>https://www.apem.com/storage/datasheets/files/MEC_switches_serie_1K_1KB_1KC/media/MEC-switches-serie-1K-1KB-1KC.pdf</x:v>
      </x:c>
    </x:row>
    <x:row r="29" ht="54" customHeight="1">
      <x:c r="A29" s="10" t="str">
        <x:v>FAST</x:v>
      </x:c>
      <x:c r="B29" s="10" t="str">
        <x:v>FAST</x:v>
      </x:c>
      <x:c r="C29" s="10" t="str">
        <x:v>1KC</x:v>
      </x:c>
      <x:c r="D29" s="16" t="n">
        <x:v>332</x:v>
      </x:c>
      <x:c r="E29" s="16" t="n">
        <x:v>55</x:v>
      </x:c>
      <x:c r="F29" s="14" t="n">
        <x:f>E29*COS(RADIANS('Enclosure'!$B$9))</x:f>
        <x:v>54.16442641567144</x:v>
      </x:c>
      <x:c r="G29" s="14" t="n">
        <x:f>'Enclosure'!$B$10+E29*SIN(RADIANS('Enclosure'!$B$9))</x:f>
        <x:v>64.55064977168117</x:v>
      </x:c>
      <x:c r="H29" s="14" t="n">
        <x:v>17.75</x:v>
      </x:c>
      <x:c r="I29" s="14" t="n">
        <x:v>17.75</x:v>
      </x:c>
      <x:c r="J29" s="10" t="str">
        <x:v>14.7 square minimum family reference; coated cutout HOLD</x:v>
      </x:c>
      <x:c r="K29" s="10" t="str">
        <x:f>IF(AND(D29-H29/2&gt;=10,D29+H29/2&lt;='Enclosure'!$B$7-10,E29-I29/2&gt;=15,E29+I29/2&lt;='Enclosure'!$B$8-15),"WITHIN TRIAL BOUNDS","OUTSIDE BOUNDS")</x:f>
        <x:v>WITHIN TRIAL BOUNDS</x:v>
      </x:c>
      <x:c r="L29" s="10" t="str">
        <x:v>HOLD</x:v>
      </x:c>
      <x:c r="M29" s="10" t="str">
        <x:v>Local mode; LED state separate from camera tally</x:v>
      </x:c>
      <x:c r="N29" s="10" t="str"/>
      <x:c r="O29" s="10" t="str">
        <x:v>https://www.apem.com/storage/datasheets/files/MEC_switches_serie_1K_1KB_1KC/media/MEC-switches-serie-1K-1KB-1KC.pdf</x:v>
      </x:c>
    </x:row>
    <x:row r="30" ht="54" customHeight="1">
      <x:c r="A30" s="11" t="str">
        <x:v>MIDDLE</x:v>
      </x:c>
      <x:c r="B30" s="11" t="str">
        <x:v>MIDDLE</x:v>
      </x:c>
      <x:c r="C30" s="11" t="str">
        <x:v>1KC</x:v>
      </x:c>
      <x:c r="D30" s="16" t="n">
        <x:v>354</x:v>
      </x:c>
      <x:c r="E30" s="16" t="n">
        <x:v>55</x:v>
      </x:c>
      <x:c r="F30" s="15" t="n">
        <x:f>E30*COS(RADIANS('Enclosure'!$B$9))</x:f>
        <x:v>54.16442641567144</x:v>
      </x:c>
      <x:c r="G30" s="15" t="n">
        <x:f>'Enclosure'!$B$10+E30*SIN(RADIANS('Enclosure'!$B$9))</x:f>
        <x:v>64.55064977168117</x:v>
      </x:c>
      <x:c r="H30" s="15" t="n">
        <x:v>17.75</x:v>
      </x:c>
      <x:c r="I30" s="15" t="n">
        <x:v>17.75</x:v>
      </x:c>
      <x:c r="J30" s="11" t="str">
        <x:v>14.7 square minimum family reference; coated cutout HOLD</x:v>
      </x:c>
      <x:c r="K30" s="11" t="str">
        <x:f>IF(AND(D30-H30/2&gt;=10,D30+H30/2&lt;='Enclosure'!$B$7-10,E30-I30/2&gt;=15,E30+I30/2&lt;='Enclosure'!$B$8-15),"WITHIN TRIAL BOUNDS","OUTSIDE BOUNDS")</x:f>
        <x:v>WITHIN TRIAL BOUNDS</x:v>
      </x:c>
      <x:c r="L30" s="11" t="str">
        <x:v>HOLD</x:v>
      </x:c>
      <x:c r="M30" s="11" t="str">
        <x:v>Local mode; LED state separate from camera tally</x:v>
      </x:c>
      <x:c r="N30" s="11" t="str"/>
      <x:c r="O30" s="11" t="str">
        <x:v>https://www.apem.com/storage/datasheets/files/MEC_switches_serie_1K_1KB_1KC/media/MEC-switches-serie-1K-1KB-1KC.pdf</x:v>
      </x:c>
    </x:row>
    <x:row r="31" ht="54" customHeight="1">
      <x:c r="A31" s="10" t="str">
        <x:v>SLOW</x:v>
      </x:c>
      <x:c r="B31" s="10" t="str">
        <x:v>SLOW</x:v>
      </x:c>
      <x:c r="C31" s="10" t="str">
        <x:v>1KC</x:v>
      </x:c>
      <x:c r="D31" s="16" t="n">
        <x:v>376</x:v>
      </x:c>
      <x:c r="E31" s="16" t="n">
        <x:v>55</x:v>
      </x:c>
      <x:c r="F31" s="14" t="n">
        <x:f>E31*COS(RADIANS('Enclosure'!$B$9))</x:f>
        <x:v>54.16442641567144</x:v>
      </x:c>
      <x:c r="G31" s="14" t="n">
        <x:f>'Enclosure'!$B$10+E31*SIN(RADIANS('Enclosure'!$B$9))</x:f>
        <x:v>64.55064977168117</x:v>
      </x:c>
      <x:c r="H31" s="14" t="n">
        <x:v>17.75</x:v>
      </x:c>
      <x:c r="I31" s="14" t="n">
        <x:v>17.75</x:v>
      </x:c>
      <x:c r="J31" s="10" t="str">
        <x:v>14.7 square minimum family reference; coated cutout HOLD</x:v>
      </x:c>
      <x:c r="K31" s="10" t="str">
        <x:f>IF(AND(D31-H31/2&gt;=10,D31+H31/2&lt;='Enclosure'!$B$7-10,E31-I31/2&gt;=15,E31+I31/2&lt;='Enclosure'!$B$8-15),"WITHIN TRIAL BOUNDS","OUTSIDE BOUNDS")</x:f>
        <x:v>WITHIN TRIAL BOUNDS</x:v>
      </x:c>
      <x:c r="L31" s="10" t="str">
        <x:v>HOLD</x:v>
      </x:c>
      <x:c r="M31" s="10" t="str">
        <x:v>Local mode; LED state separate from camera tally</x:v>
      </x:c>
      <x:c r="N31" s="10" t="str"/>
      <x:c r="O31" s="10" t="str">
        <x:v>https://www.apem.com/storage/datasheets/files/MEC_switches_serie_1K_1KB_1KC/media/MEC-switches-serie-1K-1KB-1KC.pdf</x:v>
      </x:c>
    </x:row>
    <x:row r="32" ht="54" customHeight="1">
      <x:c r="A32" s="11" t="str">
        <x:v>LOCK</x:v>
      </x:c>
      <x:c r="B32" s="11" t="str">
        <x:v>LOCK</x:v>
      </x:c>
      <x:c r="C32" s="11" t="str">
        <x:v>1KC</x:v>
      </x:c>
      <x:c r="D32" s="16" t="n">
        <x:v>310</x:v>
      </x:c>
      <x:c r="E32" s="16" t="n">
        <x:v>26</x:v>
      </x:c>
      <x:c r="F32" s="15" t="n">
        <x:f>E32*COS(RADIANS('Enclosure'!$B$9))</x:f>
        <x:v>25.60500157831741</x:v>
      </x:c>
      <x:c r="G32" s="15" t="n">
        <x:f>'Enclosure'!$B$10+E32*SIN(RADIANS('Enclosure'!$B$9))</x:f>
        <x:v>59.51485261934019</x:v>
      </x:c>
      <x:c r="H32" s="15" t="n">
        <x:v>17.75</x:v>
      </x:c>
      <x:c r="I32" s="15" t="n">
        <x:v>17.75</x:v>
      </x:c>
      <x:c r="J32" s="11" t="str">
        <x:v>14.7 square minimum family reference; coated cutout HOLD</x:v>
      </x:c>
      <x:c r="K32" s="11" t="str">
        <x:f>IF(AND(D32-H32/2&gt;=10,D32+H32/2&lt;='Enclosure'!$B$7-10,E32-I32/2&gt;=15,E32+I32/2&lt;='Enclosure'!$B$8-15),"WITHIN TRIAL BOUNDS","OUTSIDE BOUNDS")</x:f>
        <x:v>WITHIN TRIAL BOUNDS</x:v>
      </x:c>
      <x:c r="L32" s="11" t="str">
        <x:v>HOLD</x:v>
      </x:c>
      <x:c r="M32" s="11" t="str">
        <x:v>Local mode; LED state separate from camera tally</x:v>
      </x:c>
      <x:c r="N32" s="11" t="str"/>
      <x:c r="O32" s="11" t="str">
        <x:v>https://www.apem.com/storage/datasheets/files/MEC_switches_serie_1K_1KB_1KC/media/MEC-switches-serie-1K-1KB-1KC.pdf</x:v>
      </x:c>
    </x:row>
    <x:row r="33" ht="54" customHeight="1">
      <x:c r="A33" s="10" t="str">
        <x:v>AF</x:v>
      </x:c>
      <x:c r="B33" s="10" t="str">
        <x:v>AUTO FOCUS</x:v>
      </x:c>
      <x:c r="C33" s="10" t="str">
        <x:v>1KC</x:v>
      </x:c>
      <x:c r="D33" s="16" t="n">
        <x:v>38</x:v>
      </x:c>
      <x:c r="E33" s="16" t="n">
        <x:v>96</x:v>
      </x:c>
      <x:c r="F33" s="14" t="n">
        <x:f>E33*COS(RADIANS('Enclosure'!$B$9))</x:f>
        <x:v>94.54154428917197</x:v>
      </x:c>
      <x:c r="G33" s="14" t="n">
        <x:f>'Enclosure'!$B$10+E33*SIN(RADIANS('Enclosure'!$B$9))</x:f>
        <x:v>71.67022505602532</x:v>
      </x:c>
      <x:c r="H33" s="14" t="n">
        <x:v>17.75</x:v>
      </x:c>
      <x:c r="I33" s="14" t="n">
        <x:v>17.75</x:v>
      </x:c>
      <x:c r="J33" s="10" t="str">
        <x:v>14.7 square minimum family reference; coated cutout HOLD</x:v>
      </x:c>
      <x:c r="K33" s="10" t="str">
        <x:f>IF(AND(D33-H33/2&gt;=10,D33+H33/2&lt;='Enclosure'!$B$7-10,E33-I33/2&gt;=15,E33+I33/2&lt;='Enclosure'!$B$8-15),"WITHIN TRIAL BOUNDS","OUTSIDE BOUNDS")</x:f>
        <x:v>WITHIN TRIAL BOUNDS</x:v>
      </x:c>
      <x:c r="L33" s="10" t="str">
        <x:v>HOLD</x:v>
      </x:c>
      <x:c r="M33" s="10" t="str">
        <x:v>AF beneath FOCUS; mode state requires qualified feedback</x:v>
      </x:c>
      <x:c r="N33" s="10" t="str"/>
      <x:c r="O33" s="10" t="str">
        <x:v>https://www.apem.com/storage/datasheets/files/MEC_switches_serie_1K_1KB_1KC/media/MEC-switches-serie-1K-1KB-1KC.pdf</x:v>
      </x:c>
    </x:row>
    <x:row r="34" ht="54" customHeight="1">
      <x:c r="A34" s="11" t="str">
        <x:v>STORE</x:v>
      </x:c>
      <x:c r="B34" s="11" t="str">
        <x:v>STORE</x:v>
      </x:c>
      <x:c r="C34" s="11" t="str">
        <x:v>B3F+B32</x:v>
      </x:c>
      <x:c r="D34" s="16" t="n">
        <x:v>167</x:v>
      </x:c>
      <x:c r="E34" s="16" t="n">
        <x:v>26</x:v>
      </x:c>
      <x:c r="F34" s="15" t="n">
        <x:f>E34*COS(RADIANS('Enclosure'!$B$9))</x:f>
        <x:v>25.60500157831741</x:v>
      </x:c>
      <x:c r="G34" s="15" t="n">
        <x:f>'Enclosure'!$B$10+E34*SIN(RADIANS('Enclosure'!$B$9))</x:f>
        <x:v>59.51485261934019</x:v>
      </x:c>
      <x:c r="H34" s="15" t="n">
        <x:v>12.15</x:v>
      </x:c>
      <x:c r="I34" s="15" t="n">
        <x:v>12.15</x:v>
      </x:c>
      <x:c r="J34" s="11" t="str">
        <x:v>12.20 +0.05/-0 uncoated; 12.8 square trial coupon only</x:v>
      </x:c>
      <x:c r="K34" s="11" t="str">
        <x:f>IF(AND(D34-H34/2&gt;=10,D34+H34/2&lt;='Enclosure'!$B$7-10,E34-I34/2&gt;=15,E34+I34/2&lt;='Enclosure'!$B$8-15),"WITHIN TRIAL BOUNDS","OUTSIDE BOUNDS")</x:f>
        <x:v>WITHIN TRIAL BOUNDS</x:v>
      </x:c>
      <x:c r="L34" s="11" t="str">
        <x:v>HOLD</x:v>
      </x:c>
      <x:c r="M34" s="11" t="str">
        <x:v>Installed Panasonic functions unavailable until path qualification</x:v>
      </x:c>
      <x:c r="N34" s="11" t="str"/>
      <x:c r="O34" s="11" t="str">
        <x:v>https://omronfs.omron.com/en_US/ecb/products/pdf/en-b32.pdf</x:v>
      </x:c>
    </x:row>
    <x:row r="35" ht="54" customHeight="1">
      <x:c r="A35" s="10" t="str">
        <x:v>CAM_OSD</x:v>
      </x:c>
      <x:c r="B35" s="10" t="str">
        <x:v>CAM OSD</x:v>
      </x:c>
      <x:c r="C35" s="10" t="str">
        <x:v>B3F+B32</x:v>
      </x:c>
      <x:c r="D35" s="16" t="n">
        <x:v>180</x:v>
      </x:c>
      <x:c r="E35" s="16" t="n">
        <x:v>128</x:v>
      </x:c>
      <x:c r="F35" s="14" t="n">
        <x:f>E35*COS(RADIANS('Enclosure'!$B$9))</x:f>
        <x:v>126.05539238556263</x:v>
      </x:c>
      <x:c r="G35" s="14" t="n">
        <x:f>'Enclosure'!$B$10+E35*SIN(RADIANS('Enclosure'!$B$9))</x:f>
        <x:v>77.22696674136708</x:v>
      </x:c>
      <x:c r="H35" s="14" t="n">
        <x:v>12.15</x:v>
      </x:c>
      <x:c r="I35" s="14" t="n">
        <x:v>12.15</x:v>
      </x:c>
      <x:c r="J35" s="10" t="str">
        <x:v>12.20 +0.05/-0 uncoated; 12.8 square trial coupon only</x:v>
      </x:c>
      <x:c r="K35" s="10" t="str">
        <x:f>IF(AND(D35-H35/2&gt;=10,D35+H35/2&lt;='Enclosure'!$B$7-10,E35-I35/2&gt;=15,E35+I35/2&lt;='Enclosure'!$B$8-15),"WITHIN TRIAL BOUNDS","OUTSIDE BOUNDS")</x:f>
        <x:v>WITHIN TRIAL BOUNDS</x:v>
      </x:c>
      <x:c r="L35" s="10" t="str">
        <x:v>HOLD</x:v>
      </x:c>
      <x:c r="M35" s="10" t="str">
        <x:v>Installed Panasonic functions unavailable until path qualification</x:v>
      </x:c>
      <x:c r="N35" s="10" t="str"/>
      <x:c r="O35" s="10" t="str">
        <x:v>https://omronfs.omron.com/en_US/ecb/products/pdf/en-b32.pdf</x:v>
      </x:c>
    </x:row>
    <x:row r="36" ht="54" customHeight="1">
      <x:c r="A36" s="11" t="str">
        <x:v>ONE_PUSH</x:v>
      </x:c>
      <x:c r="B36" s="11" t="str">
        <x:v>ONE PUSH</x:v>
      </x:c>
      <x:c r="C36" s="11" t="str">
        <x:v>B3F+B32</x:v>
      </x:c>
      <x:c r="D36" s="16" t="n">
        <x:v>38</x:v>
      </x:c>
      <x:c r="E36" s="16" t="n">
        <x:v>156</x:v>
      </x:c>
      <x:c r="F36" s="15" t="n">
        <x:f>E36*COS(RADIANS('Enclosure'!$B$9))</x:f>
        <x:v>153.63000946990445</x:v>
      </x:c>
      <x:c r="G36" s="15" t="n">
        <x:f>'Enclosure'!$B$10+E36*SIN(RADIANS('Enclosure'!$B$9))</x:f>
        <x:v>82.08911571604114</x:v>
      </x:c>
      <x:c r="H36" s="15" t="n">
        <x:v>12.15</x:v>
      </x:c>
      <x:c r="I36" s="15" t="n">
        <x:v>12.15</x:v>
      </x:c>
      <x:c r="J36" s="11" t="str">
        <x:v>12.20 +0.05/-0 uncoated; 12.8 square trial coupon only</x:v>
      </x:c>
      <x:c r="K36" s="11" t="str">
        <x:f>IF(AND(D36-H36/2&gt;=10,D36+H36/2&lt;='Enclosure'!$B$7-10,E36-I36/2&gt;=15,E36+I36/2&lt;='Enclosure'!$B$8-15),"WITHIN TRIAL BOUNDS","OUTSIDE BOUNDS")</x:f>
        <x:v>WITHIN TRIAL BOUNDS</x:v>
      </x:c>
      <x:c r="L36" s="11" t="str">
        <x:v>HOLD</x:v>
      </x:c>
      <x:c r="M36" s="11" t="str">
        <x:v>Installed Panasonic functions unavailable until path qualification</x:v>
      </x:c>
      <x:c r="N36" s="11" t="str"/>
      <x:c r="O36" s="11" t="str">
        <x:v>https://omronfs.omron.com/en_US/ecb/products/pdf/en-b32.pdf</x:v>
      </x:c>
    </x:row>
    <x:row r="37" ht="54" customHeight="1">
      <x:c r="A37" s="10" t="str">
        <x:v>MWB</x:v>
      </x:c>
      <x:c r="B37" s="10" t="str">
        <x:v>MWB</x:v>
      </x:c>
      <x:c r="C37" s="10" t="str">
        <x:v>B3F+B32</x:v>
      </x:c>
      <x:c r="D37" s="16" t="n">
        <x:v>92</x:v>
      </x:c>
      <x:c r="E37" s="16" t="n">
        <x:v>156</x:v>
      </x:c>
      <x:c r="F37" s="14" t="n">
        <x:f>E37*COS(RADIANS('Enclosure'!$B$9))</x:f>
        <x:v>153.63000946990445</x:v>
      </x:c>
      <x:c r="G37" s="14" t="n">
        <x:f>'Enclosure'!$B$10+E37*SIN(RADIANS('Enclosure'!$B$9))</x:f>
        <x:v>82.08911571604114</x:v>
      </x:c>
      <x:c r="H37" s="14" t="n">
        <x:v>12.15</x:v>
      </x:c>
      <x:c r="I37" s="14" t="n">
        <x:v>12.15</x:v>
      </x:c>
      <x:c r="J37" s="10" t="str">
        <x:v>12.20 +0.05/-0 uncoated; 12.8 square trial coupon only</x:v>
      </x:c>
      <x:c r="K37" s="10" t="str">
        <x:f>IF(AND(D37-H37/2&gt;=10,D37+H37/2&lt;='Enclosure'!$B$7-10,E37-I37/2&gt;=15,E37+I37/2&lt;='Enclosure'!$B$8-15),"WITHIN TRIAL BOUNDS","OUTSIDE BOUNDS")</x:f>
        <x:v>WITHIN TRIAL BOUNDS</x:v>
      </x:c>
      <x:c r="L37" s="10" t="str">
        <x:v>HOLD</x:v>
      </x:c>
      <x:c r="M37" s="10" t="str">
        <x:v>Installed Panasonic functions unavailable until path qualification</x:v>
      </x:c>
      <x:c r="N37" s="10" t="str"/>
      <x:c r="O37" s="10" t="str">
        <x:v>https://omronfs.omron.com/en_US/ecb/products/pdf/en-b32.pdf</x:v>
      </x:c>
    </x:row>
    <x:row r="38" ht="54" customHeight="1">
      <x:c r="A38" s="11" t="str">
        <x:v>ATW</x:v>
      </x:c>
      <x:c r="B38" s="11" t="str">
        <x:v>ATW</x:v>
      </x:c>
      <x:c r="C38" s="11" t="str">
        <x:v>B3F+B32</x:v>
      </x:c>
      <x:c r="D38" s="16" t="n">
        <x:v>146</x:v>
      </x:c>
      <x:c r="E38" s="16" t="n">
        <x:v>156</x:v>
      </x:c>
      <x:c r="F38" s="15" t="n">
        <x:f>E38*COS(RADIANS('Enclosure'!$B$9))</x:f>
        <x:v>153.63000946990445</x:v>
      </x:c>
      <x:c r="G38" s="15" t="n">
        <x:f>'Enclosure'!$B$10+E38*SIN(RADIANS('Enclosure'!$B$9))</x:f>
        <x:v>82.08911571604114</x:v>
      </x:c>
      <x:c r="H38" s="15" t="n">
        <x:v>12.15</x:v>
      </x:c>
      <x:c r="I38" s="15" t="n">
        <x:v>12.15</x:v>
      </x:c>
      <x:c r="J38" s="11" t="str">
        <x:v>12.20 +0.05/-0 uncoated; 12.8 square trial coupon only</x:v>
      </x:c>
      <x:c r="K38" s="11" t="str">
        <x:f>IF(AND(D38-H38/2&gt;=10,D38+H38/2&lt;='Enclosure'!$B$7-10,E38-I38/2&gt;=15,E38+I38/2&lt;='Enclosure'!$B$8-15),"WITHIN TRIAL BOUNDS","OUTSIDE BOUNDS")</x:f>
        <x:v>WITHIN TRIAL BOUNDS</x:v>
      </x:c>
      <x:c r="L38" s="11" t="str">
        <x:v>HOLD</x:v>
      </x:c>
      <x:c r="M38" s="11" t="str">
        <x:v>Installed Panasonic functions unavailable until path qualification</x:v>
      </x:c>
      <x:c r="N38" s="11" t="str"/>
      <x:c r="O38" s="11" t="str">
        <x:v>https://omronfs.omron.com/en_US/ecb/products/pdf/en-b32.pdf</x:v>
      </x:c>
    </x:row>
    <x:row r="39" ht="54" customHeight="1">
      <x:c r="A39" s="10" t="str">
        <x:v>IRIS_MODE</x:v>
      </x:c>
      <x:c r="B39" s="10" t="str">
        <x:v>IRIS</x:v>
      </x:c>
      <x:c r="C39" s="10" t="str">
        <x:v>B3F+B32</x:v>
      </x:c>
      <x:c r="D39" s="16" t="n">
        <x:v>92</x:v>
      </x:c>
      <x:c r="E39" s="16" t="n">
        <x:v>96</x:v>
      </x:c>
      <x:c r="F39" s="14" t="n">
        <x:f>E39*COS(RADIANS('Enclosure'!$B$9))</x:f>
        <x:v>94.54154428917197</x:v>
      </x:c>
      <x:c r="G39" s="14" t="n">
        <x:f>'Enclosure'!$B$10+E39*SIN(RADIANS('Enclosure'!$B$9))</x:f>
        <x:v>71.67022505602532</x:v>
      </x:c>
      <x:c r="H39" s="14" t="n">
        <x:v>12.15</x:v>
      </x:c>
      <x:c r="I39" s="14" t="n">
        <x:v>12.15</x:v>
      </x:c>
      <x:c r="J39" s="10" t="str">
        <x:v>12.20 +0.05/-0 uncoated; 12.8 square trial coupon only</x:v>
      </x:c>
      <x:c r="K39" s="10" t="str">
        <x:f>IF(AND(D39-H39/2&gt;=10,D39+H39/2&lt;='Enclosure'!$B$7-10,E39-I39/2&gt;=15,E39+I39/2&lt;='Enclosure'!$B$8-15),"WITHIN TRIAL BOUNDS","OUTSIDE BOUNDS")</x:f>
        <x:v>WITHIN TRIAL BOUNDS</x:v>
      </x:c>
      <x:c r="L39" s="10" t="str">
        <x:v>HOLD</x:v>
      </x:c>
      <x:c r="M39" s="10" t="str">
        <x:v>Seven unlit technical keys. IRIS/SHUTTER final mode semantics and legends need owner approval.</x:v>
      </x:c>
      <x:c r="N39" s="10" t="str"/>
      <x:c r="O39" s="10" t="str">
        <x:v>https://omronfs.omron.com/en_US/ecb/products/pdf/en-b32.pdf</x:v>
      </x:c>
    </x:row>
    <x:row r="40" ht="54" customHeight="1">
      <x:c r="A40" s="11" t="str">
        <x:v>SHUTTER_MODE</x:v>
      </x:c>
      <x:c r="B40" s="11" t="str">
        <x:v>SHUTTER</x:v>
      </x:c>
      <x:c r="C40" s="11" t="str">
        <x:v>B3F+B32</x:v>
      </x:c>
      <x:c r="D40" s="16" t="n">
        <x:v>146</x:v>
      </x:c>
      <x:c r="E40" s="16" t="n">
        <x:v>96</x:v>
      </x:c>
      <x:c r="F40" s="15" t="n">
        <x:f>E40*COS(RADIANS('Enclosure'!$B$9))</x:f>
        <x:v>94.54154428917197</x:v>
      </x:c>
      <x:c r="G40" s="15" t="n">
        <x:f>'Enclosure'!$B$10+E40*SIN(RADIANS('Enclosure'!$B$9))</x:f>
        <x:v>71.67022505602532</x:v>
      </x:c>
      <x:c r="H40" s="15" t="n">
        <x:v>12.15</x:v>
      </x:c>
      <x:c r="I40" s="15" t="n">
        <x:v>12.15</x:v>
      </x:c>
      <x:c r="J40" s="11" t="str">
        <x:v>12.20 +0.05/-0 uncoated; 12.8 square trial coupon only</x:v>
      </x:c>
      <x:c r="K40" s="11" t="str">
        <x:f>IF(AND(D40-H40/2&gt;=10,D40+H40/2&lt;='Enclosure'!$B$7-10,E40-I40/2&gt;=15,E40+I40/2&lt;='Enclosure'!$B$8-15),"WITHIN TRIAL BOUNDS","OUTSIDE BOUNDS")</x:f>
        <x:v>WITHIN TRIAL BOUNDS</x:v>
      </x:c>
      <x:c r="L40" s="11" t="str">
        <x:v>HOLD</x:v>
      </x:c>
      <x:c r="M40" s="11" t="str">
        <x:v>Seven unlit technical keys. IRIS/SHUTTER final mode semantics and legends need owner approval.</x:v>
      </x:c>
      <x:c r="N40" s="11" t="str"/>
      <x:c r="O40" s="11" t="str">
        <x:v>https://omronfs.omron.com/en_US/ecb/products/pdf/en-b32.pdf</x:v>
      </x:c>
    </x:row>
    <x:row r="41" ht="54" customHeight="1">
      <x:c r="A41" s="10" t="str">
        <x:v>E1</x:v>
      </x:c>
      <x:c r="B41" s="10" t="str">
        <x:v>FOCUS</x:v>
      </x:c>
      <x:c r="C41" s="10" t="str">
        <x:v>ENCODER</x:v>
      </x:c>
      <x:c r="D41" s="16" t="n">
        <x:v>38</x:v>
      </x:c>
      <x:c r="E41" s="16" t="n">
        <x:v>128</x:v>
      </x:c>
      <x:c r="F41" s="14" t="n">
        <x:f>E41*COS(RADIANS('Enclosure'!$B$9))</x:f>
        <x:v>126.05539238556263</x:v>
      </x:c>
      <x:c r="G41" s="14" t="n">
        <x:f>'Enclosure'!$B$10+E41*SIN(RADIANS('Enclosure'!$B$9))</x:f>
        <x:v>77.22696674136708</x:v>
      </x:c>
      <x:c r="H41" s="14" t="n">
        <x:v>28</x:v>
      </x:c>
      <x:c r="I41" s="14" t="n">
        <x:v>28</x:v>
      </x:c>
      <x:c r="J41" s="10" t="str">
        <x:v>M7 clearance hole; 7.5 diameter trial only, not tapped</x:v>
      </x:c>
      <x:c r="K41" s="10" t="str">
        <x:f>IF(AND(D41-H41/2&gt;=10,D41+H41/2&lt;='Enclosure'!$B$7-10,E41-I41/2&gt;=15,E41+I41/2&lt;='Enclosure'!$B$8-15),"WITHIN TRIAL BOUNDS","OUTSIDE BOUNDS")</x:f>
        <x:v>WITHIN TRIAL BOUNDS</x:v>
      </x:c>
      <x:c r="L41" s="10" t="str">
        <x:v>HOLD</x:v>
      </x:c>
      <x:c r="M41" s="10" t="str">
        <x:v>28 diameter is operating allocation around 20 diameter knob. E4-E6 assignments remain proposed; no encoder push switches.</x:v>
      </x:c>
      <x:c r="N41" s="10" t="str"/>
      <x:c r="O41" s="10" t="str">
        <x:v>https://www.bourns.com/docs/product-datasheets/pec11r.pdf</x:v>
      </x:c>
    </x:row>
    <x:row r="42" ht="54" customHeight="1">
      <x:c r="A42" s="11" t="str">
        <x:v>E2</x:v>
      </x:c>
      <x:c r="B42" s="11" t="str">
        <x:v>IRIS</x:v>
      </x:c>
      <x:c r="C42" s="11" t="str">
        <x:v>ENCODER</x:v>
      </x:c>
      <x:c r="D42" s="16" t="n">
        <x:v>92</x:v>
      </x:c>
      <x:c r="E42" s="16" t="n">
        <x:v>128</x:v>
      </x:c>
      <x:c r="F42" s="15" t="n">
        <x:f>E42*COS(RADIANS('Enclosure'!$B$9))</x:f>
        <x:v>126.05539238556263</x:v>
      </x:c>
      <x:c r="G42" s="15" t="n">
        <x:f>'Enclosure'!$B$10+E42*SIN(RADIANS('Enclosure'!$B$9))</x:f>
        <x:v>77.22696674136708</x:v>
      </x:c>
      <x:c r="H42" s="15" t="n">
        <x:v>28</x:v>
      </x:c>
      <x:c r="I42" s="15" t="n">
        <x:v>28</x:v>
      </x:c>
      <x:c r="J42" s="11" t="str">
        <x:v>M7 clearance hole; 7.5 diameter trial only, not tapped</x:v>
      </x:c>
      <x:c r="K42" s="11" t="str">
        <x:f>IF(AND(D42-H42/2&gt;=10,D42+H42/2&lt;='Enclosure'!$B$7-10,E42-I42/2&gt;=15,E42+I42/2&lt;='Enclosure'!$B$8-15),"WITHIN TRIAL BOUNDS","OUTSIDE BOUNDS")</x:f>
        <x:v>WITHIN TRIAL BOUNDS</x:v>
      </x:c>
      <x:c r="L42" s="11" t="str">
        <x:v>HOLD</x:v>
      </x:c>
      <x:c r="M42" s="11" t="str">
        <x:v>28 diameter is operating allocation around 20 diameter knob. E4-E6 assignments remain proposed; no encoder push switches.</x:v>
      </x:c>
      <x:c r="N42" s="11" t="str"/>
      <x:c r="O42" s="11" t="str">
        <x:v>https://www.bourns.com/docs/product-datasheets/pec11r.pdf</x:v>
      </x:c>
    </x:row>
    <x:row r="43" ht="54" customHeight="1">
      <x:c r="A43" s="10" t="str">
        <x:v>E3</x:v>
      </x:c>
      <x:c r="B43" s="10" t="str">
        <x:v>SHUTTER</x:v>
      </x:c>
      <x:c r="C43" s="10" t="str">
        <x:v>ENCODER</x:v>
      </x:c>
      <x:c r="D43" s="16" t="n">
        <x:v>146</x:v>
      </x:c>
      <x:c r="E43" s="16" t="n">
        <x:v>128</x:v>
      </x:c>
      <x:c r="F43" s="14" t="n">
        <x:f>E43*COS(RADIANS('Enclosure'!$B$9))</x:f>
        <x:v>126.05539238556263</x:v>
      </x:c>
      <x:c r="G43" s="14" t="n">
        <x:f>'Enclosure'!$B$10+E43*SIN(RADIANS('Enclosure'!$B$9))</x:f>
        <x:v>77.22696674136708</x:v>
      </x:c>
      <x:c r="H43" s="14" t="n">
        <x:v>28</x:v>
      </x:c>
      <x:c r="I43" s="14" t="n">
        <x:v>28</x:v>
      </x:c>
      <x:c r="J43" s="10" t="str">
        <x:v>M7 clearance hole; 7.5 diameter trial only, not tapped</x:v>
      </x:c>
      <x:c r="K43" s="10" t="str">
        <x:f>IF(AND(D43-H43/2&gt;=10,D43+H43/2&lt;='Enclosure'!$B$7-10,E43-I43/2&gt;=15,E43+I43/2&lt;='Enclosure'!$B$8-15),"WITHIN TRIAL BOUNDS","OUTSIDE BOUNDS")</x:f>
        <x:v>WITHIN TRIAL BOUNDS</x:v>
      </x:c>
      <x:c r="L43" s="10" t="str">
        <x:v>HOLD</x:v>
      </x:c>
      <x:c r="M43" s="10" t="str">
        <x:v>28 diameter is operating allocation around 20 diameter knob. E4-E6 assignments remain proposed; no encoder push switches.</x:v>
      </x:c>
      <x:c r="N43" s="10" t="str"/>
      <x:c r="O43" s="10" t="str">
        <x:v>https://www.bourns.com/docs/product-datasheets/pec11r.pdf</x:v>
      </x:c>
    </x:row>
    <x:row r="44" ht="54" customHeight="1">
      <x:c r="A44" s="11" t="str">
        <x:v>E4</x:v>
      </x:c>
      <x:c r="B44" s="11" t="str">
        <x:v>R GAIN</x:v>
      </x:c>
      <x:c r="C44" s="11" t="str">
        <x:v>ENCODER</x:v>
      </x:c>
      <x:c r="D44" s="16" t="n">
        <x:v>38</x:v>
      </x:c>
      <x:c r="E44" s="16" t="n">
        <x:v>196</x:v>
      </x:c>
      <x:c r="F44" s="15" t="n">
        <x:f>E44*COS(RADIANS('Enclosure'!$B$9))</x:f>
        <x:v>193.02231959039278</x:v>
      </x:c>
      <x:c r="G44" s="15" t="n">
        <x:f>'Enclosure'!$B$10+E44*SIN(RADIANS('Enclosure'!$B$9))</x:f>
        <x:v>89.03504282271834</x:v>
      </x:c>
      <x:c r="H44" s="15" t="n">
        <x:v>28</x:v>
      </x:c>
      <x:c r="I44" s="15" t="n">
        <x:v>28</x:v>
      </x:c>
      <x:c r="J44" s="11" t="str">
        <x:v>M7 clearance hole; 7.5 diameter trial only, not tapped</x:v>
      </x:c>
      <x:c r="K44" s="11" t="str">
        <x:f>IF(AND(D44-H44/2&gt;=10,D44+H44/2&lt;='Enclosure'!$B$7-10,E44-I44/2&gt;=15,E44+I44/2&lt;='Enclosure'!$B$8-15),"WITHIN TRIAL BOUNDS","OUTSIDE BOUNDS")</x:f>
        <x:v>WITHIN TRIAL BOUNDS</x:v>
      </x:c>
      <x:c r="L44" s="11" t="str">
        <x:v>HOLD</x:v>
      </x:c>
      <x:c r="M44" s="11" t="str">
        <x:v>28 diameter is operating allocation around 20 diameter knob. E4-E6 assignments remain proposed; no encoder push switches.</x:v>
      </x:c>
      <x:c r="N44" s="11" t="str"/>
      <x:c r="O44" s="11" t="str">
        <x:v>https://www.bourns.com/docs/product-datasheets/pec11r.pdf</x:v>
      </x:c>
    </x:row>
    <x:row r="45" ht="54" customHeight="1">
      <x:c r="A45" s="10" t="str">
        <x:v>E5</x:v>
      </x:c>
      <x:c r="B45" s="10" t="str">
        <x:v>B GAIN</x:v>
      </x:c>
      <x:c r="C45" s="10" t="str">
        <x:v>ENCODER</x:v>
      </x:c>
      <x:c r="D45" s="16" t="n">
        <x:v>92</x:v>
      </x:c>
      <x:c r="E45" s="16" t="n">
        <x:v>196</x:v>
      </x:c>
      <x:c r="F45" s="14" t="n">
        <x:f>E45*COS(RADIANS('Enclosure'!$B$9))</x:f>
        <x:v>193.02231959039278</x:v>
      </x:c>
      <x:c r="G45" s="14" t="n">
        <x:f>'Enclosure'!$B$10+E45*SIN(RADIANS('Enclosure'!$B$9))</x:f>
        <x:v>89.03504282271834</x:v>
      </x:c>
      <x:c r="H45" s="14" t="n">
        <x:v>28</x:v>
      </x:c>
      <x:c r="I45" s="14" t="n">
        <x:v>28</x:v>
      </x:c>
      <x:c r="J45" s="10" t="str">
        <x:v>M7 clearance hole; 7.5 diameter trial only, not tapped</x:v>
      </x:c>
      <x:c r="K45" s="10" t="str">
        <x:f>IF(AND(D45-H45/2&gt;=10,D45+H45/2&lt;='Enclosure'!$B$7-10,E45-I45/2&gt;=15,E45+I45/2&lt;='Enclosure'!$B$8-15),"WITHIN TRIAL BOUNDS","OUTSIDE BOUNDS")</x:f>
        <x:v>WITHIN TRIAL BOUNDS</x:v>
      </x:c>
      <x:c r="L45" s="10" t="str">
        <x:v>HOLD</x:v>
      </x:c>
      <x:c r="M45" s="10" t="str">
        <x:v>28 diameter is operating allocation around 20 diameter knob. E4-E6 assignments remain proposed; no encoder push switches.</x:v>
      </x:c>
      <x:c r="N45" s="10" t="str"/>
      <x:c r="O45" s="10" t="str">
        <x:v>https://www.bourns.com/docs/product-datasheets/pec11r.pdf</x:v>
      </x:c>
    </x:row>
    <x:row r="46" ht="54" customHeight="1">
      <x:c r="A46" s="11" t="str">
        <x:v>E6</x:v>
      </x:c>
      <x:c r="B46" s="11" t="str">
        <x:v>GAIN / MENU</x:v>
      </x:c>
      <x:c r="C46" s="11" t="str">
        <x:v>ENCODER</x:v>
      </x:c>
      <x:c r="D46" s="16" t="n">
        <x:v>146</x:v>
      </x:c>
      <x:c r="E46" s="16" t="n">
        <x:v>196</x:v>
      </x:c>
      <x:c r="F46" s="15" t="n">
        <x:f>E46*COS(RADIANS('Enclosure'!$B$9))</x:f>
        <x:v>193.02231959039278</x:v>
      </x:c>
      <x:c r="G46" s="15" t="n">
        <x:f>'Enclosure'!$B$10+E46*SIN(RADIANS('Enclosure'!$B$9))</x:f>
        <x:v>89.03504282271834</x:v>
      </x:c>
      <x:c r="H46" s="15" t="n">
        <x:v>28</x:v>
      </x:c>
      <x:c r="I46" s="15" t="n">
        <x:v>28</x:v>
      </x:c>
      <x:c r="J46" s="11" t="str">
        <x:v>M7 clearance hole; 7.5 diameter trial only, not tapped</x:v>
      </x:c>
      <x:c r="K46" s="11" t="str">
        <x:f>IF(AND(D46-H46/2&gt;=10,D46+H46/2&lt;='Enclosure'!$B$7-10,E46-I46/2&gt;=15,E46+I46/2&lt;='Enclosure'!$B$8-15),"WITHIN TRIAL BOUNDS","OUTSIDE BOUNDS")</x:f>
        <x:v>WITHIN TRIAL BOUNDS</x:v>
      </x:c>
      <x:c r="L46" s="11" t="str">
        <x:v>HOLD</x:v>
      </x:c>
      <x:c r="M46" s="11" t="str">
        <x:v>28 diameter is operating allocation around 20 diameter knob. E4-E6 assignments remain proposed; no encoder push switches.</x:v>
      </x:c>
      <x:c r="N46" s="11" t="str"/>
      <x:c r="O46" s="11" t="str">
        <x:v>https://www.bourns.com/docs/product-datasheets/pec11r.pdf</x:v>
      </x:c>
    </x:row>
    <x:row r="47" ht="54" customHeight="1">
      <x:c r="A47" s="10" t="str">
        <x:v>DISPLAY</x:v>
      </x:c>
      <x:c r="B47" s="10" t="str">
        <x:v>NEXTION PCB</x:v>
      </x:c>
      <x:c r="C47" s="10" t="str">
        <x:v>DISPLAY</x:v>
      </x:c>
      <x:c r="D47" s="16" t="n">
        <x:v>230</x:v>
      </x:c>
      <x:c r="E47" s="16" t="n">
        <x:v>182</x:v>
      </x:c>
      <x:c r="F47" s="14" t="n">
        <x:f>E47*COS(RADIANS('Enclosure'!$B$9))</x:f>
        <x:v>179.23501104822185</x:v>
      </x:c>
      <x:c r="G47" s="14" t="n">
        <x:f>'Enclosure'!$B$10+E47*SIN(RADIANS('Enclosure'!$B$9))</x:f>
        <x:v>86.60396833538132</x:v>
      </x:c>
      <x:c r="H47" s="14" t="n">
        <x:v>102</x:v>
      </x:c>
      <x:c r="I47" s="14" t="n">
        <x:v>60</x:v>
      </x:c>
      <x:c r="J47" s="10" t="str">
        <x:v>70.5 x42.6 trial window at PCB centre X+2.73; actual bezel HOLD</x:v>
      </x:c>
      <x:c r="K47" s="10" t="str">
        <x:f>IF(AND(D47-H47/2&gt;=10,D47+H47/2&lt;='Enclosure'!$B$7-10,E47-I47/2&gt;=15,E47+I47/2&lt;='Enclosure'!$B$8-15),"WITHIN TRIAL BOUNDS","OUTSIDE BOUNDS")</x:f>
        <x:v>WITHIN TRIAL BOUNDS</x:v>
      </x:c>
      <x:c r="L47" s="10" t="str">
        <x:v>HOLD</x:v>
      </x:c>
      <x:c r="M47" s="10" t="str">
        <x:v>Envelope includes 3.5 side allowance around 95x47.6 PCB. Window is offset; verify actual display.</x:v>
      </x:c>
      <x:c r="N47" s="10" t="str"/>
      <x:c r="O47" s="10" t="str">
        <x:v>https://nextion.tech/datasheets/nx4024t032/</x:v>
      </x:c>
    </x:row>
    <x:row r="48" ht="54" customHeight="1">
      <x:c r="A48" s="11" t="str">
        <x:v>JOYSTICK</x:v>
      </x:c>
      <x:c r="B48" s="11" t="str">
        <x:v>605616</x:v>
      </x:c>
      <x:c r="C48" s="11" t="str">
        <x:v>JOYSTICK</x:v>
      </x:c>
      <x:c r="D48" s="16" t="n">
        <x:v>340</x:v>
      </x:c>
      <x:c r="E48" s="16" t="n">
        <x:v>138</x:v>
      </x:c>
      <x:c r="F48" s="15" t="n">
        <x:f>E48*COS(RADIANS('Enclosure'!$B$9))</x:f>
        <x:v>135.9034699156847</x:v>
      </x:c>
      <x:c r="G48" s="15" t="n">
        <x:f>'Enclosure'!$B$10+E48*SIN(RADIANS('Enclosure'!$B$9))</x:f>
        <x:v>78.96344851803639</x:v>
      </x:c>
      <x:c r="H48" s="15" t="n">
        <x:v>100</x:v>
      </x:c>
      <x:c r="I48" s="15" t="n">
        <x:v>100</x:v>
      </x:c>
      <x:c r="J48" s="11" t="str">
        <x:v>HOLD: 39.116 ring is not a panel-cutout specification</x:v>
      </x:c>
      <x:c r="K48" s="11" t="str">
        <x:f>IF(AND(D48-H48/2&gt;=10,D48+H48/2&lt;='Enclosure'!$B$7-10,E48-I48/2&gt;=15,E48+I48/2&lt;='Enclosure'!$B$8-15),"WITHIN TRIAL BOUNDS","OUTSIDE BOUNDS")</x:f>
        <x:v>WITHIN TRIAL BOUNDS</x:v>
      </x:c>
      <x:c r="L48" s="11" t="str">
        <x:v>HOLD</x:v>
      </x:c>
      <x:c r="M48" s="11" t="str">
        <x:v>100 diameter hand keepout is a project allowance, not manufacturer swept volume</x:v>
      </x:c>
      <x:c r="N48" s="11" t="str"/>
      <x:c r="O48" s="11" t="str">
        <x:v>https://www.servocity.com/3-function-joystick/</x:v>
      </x:c>
    </x:row>
  </x:sheetData>
  <x:conditionalFormatting sqref="L7:L48">
    <x:cfRule type="containsText" dxfId="1" priority="1" operator="containsText" text="HOLD"/>
  </x:conditionalFormatting>
  <x:conditionalFormatting sqref="K7:K48">
    <x:cfRule type="containsText" dxfId="2" priority="2" operator="containsText" text="OUTSIDE"/>
  </x:conditionalFormatting>
  <x:pageMargins left="0.7" right="0.7" top="0.75" bottom="0.75" header="0.3" footer="0.3"/>
  <x:tableParts count="1">
    <x:tablePart xmlns:r="http://schemas.openxmlformats.org/officeDocument/2006/relationships" r:id="R132fbae5176043de"/>
  </x:tableParts>
</x:worksheet>
</file>

<file path=xl/worksheets/sheet2.xml><?xml version="1.0" encoding="utf-8"?>
<x:worksheet xmlns:x="http://schemas.openxmlformats.org/spreadsheetml/2006/main">
  <x:sheetPr>
    <x:tabColor rgb="FF34587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35" hidden="0" customWidth="1"/>
    <x:col min="5" max="5" width="75" hidden="0" customWidth="1"/>
    <x:col min="6" max="6" width="3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Proposed body and sheet-metal parameters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5" t="str">
        <x:v>Preliminary engineering schedule. HOLD features are not released for fabrication.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6" customHeight="1">
      <x:c r="A6" s="9" t="str">
        <x:v>Parameter</x:v>
      </x:c>
      <x:c r="B6" s="9" t="str">
        <x:v>Value</x:v>
      </x:c>
      <x:c r="C6" s="9" t="str">
        <x:v>Unit</x:v>
      </x:c>
      <x:c r="D6" s="9" t="str">
        <x:v>Evidence / release</x:v>
      </x:c>
      <x:c r="E6" s="9" t="str">
        <x:v>Meaning</x:v>
      </x:c>
      <x:c r="F6" s="9" t="str"/>
      <x:c r="G6" s="9" t="str">
        <x:v>Source URL</x:v>
      </x:c>
    </x:row>
    <x:row r="7" ht="34" customHeight="1">
      <x:c r="A7" s="10" t="str">
        <x:v>W</x:v>
      </x:c>
      <x:c r="B7" s="16" t="n">
        <x:v>400</x:v>
      </x:c>
      <x:c r="C7" s="10" t="str">
        <x:v>mm</x:v>
      </x:c>
      <x:c r="D7" s="10" t="str">
        <x:v>PROPOSED HOLD</x:v>
      </x:c>
      <x:c r="E7" s="10" t="str">
        <x:v>Overall outer width</x:v>
      </x:c>
      <x:c r="F7" s="10" t="str"/>
      <x:c r="G7" s="10"/>
    </x:row>
    <x:row r="8" ht="34" customHeight="1">
      <x:c r="A8" s="11" t="str">
        <x:v>S</x:v>
      </x:c>
      <x:c r="B8" s="16" t="n">
        <x:v>230</x:v>
      </x:c>
      <x:c r="C8" s="11" t="str">
        <x:v>mm</x:v>
      </x:c>
      <x:c r="D8" s="11" t="str">
        <x:v>PROPOSED HOLD</x:v>
      </x:c>
      <x:c r="E8" s="11" t="str">
        <x:v>Sloped surface length</x:v>
      </x:c>
      <x:c r="F8" s="11" t="str"/>
      <x:c r="G8" s="11"/>
    </x:row>
    <x:row r="9" ht="34" customHeight="1">
      <x:c r="A9" s="10" t="str">
        <x:v>Angle</x:v>
      </x:c>
      <x:c r="B9" s="16" t="n">
        <x:v>10</x:v>
      </x:c>
      <x:c r="C9" s="10" t="str">
        <x:v>deg</x:v>
      </x:c>
      <x:c r="D9" s="10" t="str">
        <x:v>PROPOSED HOLD</x:v>
      </x:c>
      <x:c r="E9" s="10" t="str">
        <x:v>Slope rises toward rear</x:v>
      </x:c>
      <x:c r="F9" s="10" t="str"/>
      <x:c r="G9" s="10"/>
    </x:row>
    <x:row r="10" ht="34" customHeight="1">
      <x:c r="A10" s="11" t="str">
        <x:v>H front</x:v>
      </x:c>
      <x:c r="B10" s="16" t="n">
        <x:v>55</x:v>
      </x:c>
      <x:c r="C10" s="11" t="str">
        <x:v>mm</x:v>
      </x:c>
      <x:c r="D10" s="11" t="str">
        <x:v>PROPOSED HOLD</x:v>
      </x:c>
      <x:c r="E10" s="11" t="str">
        <x:v>Outer panel front edge above base</x:v>
      </x:c>
      <x:c r="F10" s="11" t="str"/>
      <x:c r="G10" s="11"/>
    </x:row>
    <x:row r="11" ht="34" customHeight="1">
      <x:c r="A11" s="10" t="str">
        <x:v>Thickness</x:v>
      </x:c>
      <x:c r="B11" s="16" t="n">
        <x:v>1.6256</x:v>
      </x:c>
      <x:c r="C11" s="10" t="str">
        <x:v>mm</x:v>
      </x:c>
      <x:c r="D11" s="10" t="str">
        <x:v>STOCK REFERENCE / DFM HOLD</x:v>
      </x:c>
      <x:c r="E11" s="10" t="str">
        <x:v>0.064in stock5052-H32</x:v>
      </x:c>
      <x:c r="F11" s="10" t="str"/>
      <x:c r="G11" s="10" t="str">
        <x:v>https://www.protocase.com/products/materials/aluminum/</x:v>
      </x:c>
    </x:row>
    <x:row r="12" ht="34" customHeight="1">
      <x:c r="A12" s="11" t="str">
        <x:v>Inside bend radius</x:v>
      </x:c>
      <x:c r="B12" s="16" t="n">
        <x:v>1.5748</x:v>
      </x:c>
      <x:c r="C12" s="11" t="str">
        <x:v>mm</x:v>
      </x:c>
      <x:c r="D12" s="11" t="str">
        <x:v>TOOLING CANDIDATE HOLD</x:v>
      </x:c>
      <x:c r="E12" s="11" t="str">
        <x:v>0.062in table case</x:v>
      </x:c>
      <x:c r="F12" s="11" t="str"/>
      <x:c r="G12" s="11" t="str">
        <x:v>https://www.protocase.com/resources/bend-radii/</x:v>
      </x:c>
    </x:row>
    <x:row r="13" ht="34" customHeight="1">
      <x:c r="A13" s="10" t="str">
        <x:v>Flange</x:v>
      </x:c>
      <x:c r="B13" s="16" t="n">
        <x:v>15</x:v>
      </x:c>
      <x:c r="C13" s="10" t="str">
        <x:v>mm</x:v>
      </x:c>
      <x:c r="D13" s="10" t="str">
        <x:v>PROPOSED HOLD</x:v>
      </x:c>
      <x:c r="E13" s="10" t="str">
        <x:v>Greater than7.62 minimum in chosen tooling row</x:v>
      </x:c>
      <x:c r="F13" s="10" t="str"/>
      <x:c r="G13" s="10" t="str">
        <x:v>https://www.protocase.com/resources/bend-radii/</x:v>
      </x:c>
    </x:row>
    <x:row r="14" ht="34" customHeight="1">
      <x:c r="A14" s="11" t="str">
        <x:v>K factor</x:v>
      </x:c>
      <x:c r="B14" s="16" t="n">
        <x:v>0.38</x:v>
      </x:c>
      <x:c r="C14" s="11" t="str">
        <x:v>ratio</x:v>
      </x:c>
      <x:c r="D14" s="11" t="str">
        <x:v>PLANNING HOLD</x:v>
      </x:c>
      <x:c r="E14" s="11" t="str">
        <x:v>Supplier must define production bend model</x:v>
      </x:c>
      <x:c r="F14" s="11" t="str"/>
      <x:c r="G14" s="11"/>
    </x:row>
    <x:row r="15" ht="34" customHeight="1">
      <x:c r="A15" s="10" t="str">
        <x:v>Coat per wall</x:v>
      </x:c>
      <x:c r="B15" s="16" t="n">
        <x:v>0.0762</x:v>
      </x:c>
      <x:c r="C15" s="10" t="str">
        <x:v>mm</x:v>
      </x:c>
      <x:c r="D15" s="10" t="str">
        <x:v>FINISH REFERENCE / HOLD</x:v>
      </x:c>
      <x:c r="E15" s="10" t="str">
        <x:v>0.003in current guidance; selected finish controls</x:v>
      </x:c>
      <x:c r="F15" s="10" t="str"/>
      <x:c r="G15" s="10" t="str">
        <x:v>https://www.protocase.com/resources/tolerances/finishes/</x:v>
      </x:c>
    </x:row>
    <x:row r="16" ht="44" customHeight="1">
      <x:c r="A16" s="11" t="str">
        <x:v>Profile negative tolerance</x:v>
      </x:c>
      <x:c r="B16" s="16" t="n">
        <x:v>0.127</x:v>
      </x:c>
      <x:c r="C16" s="11" t="str">
        <x:v>mm</x:v>
      </x:c>
      <x:c r="D16" s="11" t="str">
        <x:v>PROCESS REFERENCE / HOLD</x:v>
      </x:c>
      <x:c r="E16" s="11" t="str">
        <x:v>0.005in; confirm quote</x:v>
      </x:c>
      <x:c r="F16" s="11" t="str"/>
      <x:c r="G16" s="11" t="str">
        <x:v>https://www.protocase.com/resources/tolerances/profile-cutting/</x:v>
      </x:c>
    </x:row>
    <x:row r="17" ht="34" customHeight="1">
      <x:c r="A17" s="10" t="str">
        <x:v>Joint gap</x:v>
      </x:c>
      <x:c r="B17" s="16" t="n">
        <x:v>0.5</x:v>
      </x:c>
      <x:c r="C17" s="10" t="str">
        <x:v>mm</x:v>
      </x:c>
      <x:c r="D17" s="10" t="str">
        <x:v>PROPOSED HOLD</x:v>
      </x:c>
      <x:c r="E17" s="10" t="str">
        <x:v>Trial cover seam allowance</x:v>
      </x:c>
      <x:c r="F17" s="10" t="str"/>
      <x:c r="G17" s="10"/>
    </x:row>
    <x:row r="18" ht="34" customHeight="1">
      <x:c r="A18" s="11" t="str">
        <x:v>Horizontal depth</x:v>
      </x:c>
      <x:c r="B18" s="15" t="n">
        <x:f>B8*COS(RADIANS(B9))</x:f>
        <x:v>226.50578319280785</x:v>
      </x:c>
      <x:c r="C18" s="11" t="str">
        <x:v>mm</x:v>
      </x:c>
      <x:c r="D18" s="11" t="str">
        <x:v>CALCULATED</x:v>
      </x:c>
      <x:c r="E18" s="11" t="str">
        <x:v>S*cos(angle)</x:v>
      </x:c>
      <x:c r="F18" s="11" t="str"/>
      <x:c r="G18" s="11"/>
    </x:row>
    <x:row r="19" ht="34" customHeight="1">
      <x:c r="A19" s="10" t="str">
        <x:v>Rear height</x:v>
      </x:c>
      <x:c r="B19" s="14" t="n">
        <x:f>B10+B8*SIN(RADIANS(B9))</x:f>
        <x:v>94.93908086339397</x:v>
      </x:c>
      <x:c r="C19" s="10" t="str">
        <x:v>mm</x:v>
      </x:c>
      <x:c r="D19" s="10" t="str">
        <x:v>CALCULATED</x:v>
      </x:c>
      <x:c r="E19" s="10" t="str">
        <x:v>H front+S*sin(angle)</x:v>
      </x:c>
      <x:c r="F19" s="10" t="str"/>
      <x:c r="G19" s="10"/>
    </x:row>
    <x:row r="20" ht="34" customHeight="1">
      <x:c r="A20" s="11" t="str">
        <x:v>Usable cutout width</x:v>
      </x:c>
      <x:c r="B20" s="15" t="n">
        <x:f>B7-30</x:f>
        <x:v>370</x:v>
      </x:c>
      <x:c r="C20" s="11" t="str">
        <x:v>mm</x:v>
      </x:c>
      <x:c r="D20" s="11" t="str">
        <x:v>CALCULATED PROPOSAL</x:v>
      </x:c>
      <x:c r="E20" s="11" t="str">
        <x:v>15mm edge band</x:v>
      </x:c>
      <x:c r="F20" s="11" t="str"/>
      <x:c r="G20" s="11"/>
    </x:row>
    <x:row r="21" ht="34" customHeight="1">
      <x:c r="A21" s="10" t="str">
        <x:v>Usable cutout slope length</x:v>
      </x:c>
      <x:c r="B21" s="14" t="n">
        <x:f>B8-30</x:f>
        <x:v>200</x:v>
      </x:c>
      <x:c r="C21" s="10" t="str">
        <x:v>mm</x:v>
      </x:c>
      <x:c r="D21" s="10" t="str">
        <x:v>CALCULATED PROPOSAL</x:v>
      </x:c>
      <x:c r="E21" s="10" t="str">
        <x:v>15mm edge band</x:v>
      </x:c>
      <x:c r="F21" s="10" t="str"/>
      <x:c r="G21" s="10"/>
    </x:row>
    <x:row r="22" ht="34" customHeight="1">
      <x:c r="A22" s="11" t="str">
        <x:v>Hand side margin</x:v>
      </x:c>
      <x:c r="B22" s="16" t="n">
        <x:v>10</x:v>
      </x:c>
      <x:c r="C22" s="11" t="str">
        <x:v>mm</x:v>
      </x:c>
      <x:c r="D22" s="11" t="str">
        <x:v>PLANNING HOLD</x:v>
      </x:c>
      <x:c r="E22" s="11" t="str">
        <x:v>Joystick hand circle may enter5mm beyond cutout band</x:v>
      </x:c>
      <x:c r="F22" s="11" t="str"/>
      <x:c r="G22" s="11"/>
    </x:row>
    <x:row r="23" ht="34" customHeight="1">
      <x:c r="A23" s="10" t="str">
        <x:v>Joystick internal normal allowance</x:v>
      </x:c>
      <x:c r="B23" s="16" t="n">
        <x:v>40</x:v>
      </x:c>
      <x:c r="C23" s="10" t="str">
        <x:v>mm</x:v>
      </x:c>
      <x:c r="D23" s="10" t="str">
        <x:v>PLANNING HOLD</x:v>
      </x:c>
      <x:c r="E23" s="10" t="str">
        <x:v>Actual tabs, wires and panel stack must pass</x:v>
      </x:c>
      <x:c r="F23" s="10" t="str"/>
      <x:c r="G23" s="10"/>
    </x:row>
    <x:row r="24" ht="34" customHeight="1">
      <x:c r="A24" s="11" t="str">
        <x:v>Rear connector allowance</x:v>
      </x:c>
      <x:c r="B24" s="16" t="n">
        <x:v>35</x:v>
      </x:c>
      <x:c r="C24" s="11" t="str">
        <x:v>mm</x:v>
      </x:c>
      <x:c r="D24" s="11" t="str">
        <x:v>PLANNING HOLD</x:v>
      </x:c>
      <x:c r="E24" s="11" t="str">
        <x:v>Actual mated connector/withdrawal may require more</x:v>
      </x:c>
      <x:c r="F24" s="11" t="str"/>
      <x:c r="G24" s="11"/>
    </x:row>
    <x:row r="25" ht="34" customHeight="1">
      <x:c r="A25" s="10" t="str">
        <x:v>Service loop surplus</x:v>
      </x:c>
      <x:c r="B25" s="16" t="n">
        <x:v>50</x:v>
      </x:c>
      <x:c r="C25" s="10" t="str">
        <x:v>mm</x:v>
      </x:c>
      <x:c r="D25" s="10" t="str">
        <x:v>PLANNING HOLD</x:v>
      </x:c>
      <x:c r="E25" s="10" t="str">
        <x:v>Beyond actual wire route, verify pinch/sweep</x:v>
      </x:c>
      <x:c r="F25" s="10" t="str"/>
      <x:c r="G25" s="10"/>
    </x:row>
    <x:row r="26" ht="44" customHeight="1">
      <x:c r="A26" s="11" t="str">
        <x:v>Illustrative1KC raw opening</x:v>
      </x:c>
      <x:c r="B26" s="15" t="n">
        <x:f>14.7+2*B15+B16</x:f>
        <x:v>14.9794</x:v>
      </x:c>
      <x:c r="C26" s="11" t="str">
        <x:v>mm</x:v>
      </x:c>
      <x:c r="D26" s="11" t="str">
        <x:v>COUPON ONLY HOLD</x:v>
      </x:c>
      <x:c r="E26" s="11" t="str">
        <x:v>14.7+2coat+negative profile tolerance, before registration</x:v>
      </x:c>
      <x:c r="F26" s="11" t="str"/>
      <x:c r="G26" s="11" t="str">
        <x:v>https://www.apem.com/storage/datasheets/files/MEC_switches_serie_1K_1KB_1KC/media/MEC-switches-serie-1K-1KB-1KC.pdf</x:v>
      </x:c>
    </x:row>
    <x:row r="27" ht="34" customHeight="1">
      <x:c r="A27" s="10" t="str">
        <x:v>90deg bend allowance example</x:v>
      </x:c>
      <x:c r="B27" s="14" t="n">
        <x:f>PI()/2*(B12+B14*B11)</x:f>
        <x:v>3.4440149287949606</x:v>
      </x:c>
      <x:c r="C27" s="10" t="str">
        <x:v>mm</x:v>
      </x:c>
      <x:c r="D27" s="10" t="str">
        <x:v>CALCULATED PLANNING</x:v>
      </x:c>
      <x:c r="E27" s="10" t="str">
        <x:v>pi/2*(Ri+K*t); not a supplier flat pattern</x:v>
      </x:c>
      <x:c r="F27" s="10" t="str"/>
      <x:c r="G27" s="10"/>
    </x:row>
  </x:sheetData>
  <x:conditionalFormatting sqref="D7:D27">
    <x:cfRule type="containsText" dxfId="0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2e2276fe47fc40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0" hidden="0" customWidth="1"/>
    <x:col min="4" max="4" width="58" hidden="0" customWidth="1"/>
    <x:col min="5" max="5" width="65" hidden="0" customWidth="1"/>
    <x:col min="6" max="6" width="80" hidden="0" customWidth="1"/>
    <x:col min="7" max="7" width="70" hidden="0" customWidth="1"/>
    <x:col min="8" max="8" width="70" hidden="0" customWidth="1"/>
    <x:col min="9" max="9" width="80" hidden="0" customWidth="1"/>
    <x:col min="10" max="10" width="50" hidden="0" customWidth="1"/>
    <x:col min="11" max="11" width="85" hidden="0" customWidth="1"/>
    <x:col min="12" max="12" width="3" hidden="0" customWidth="1"/>
    <x:col min="13" max="13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Component envelopes, datums and fit holds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5" t="str">
        <x:v>Preliminary engineering schedule. HOLD features are not released for fabrication.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6" customHeight="1">
      <x:c r="A6" s="9" t="str">
        <x:v>ID</x:v>
      </x:c>
      <x:c r="B6" s="9" t="str">
        <x:v>Exact part / assembly</x:v>
      </x:c>
      <x:c r="C6" s="9" t="str">
        <x:v>Qty</x:v>
      </x:c>
      <x:c r="D6" s="9" t="str">
        <x:v>Outline / dimension basis</x:v>
      </x:c>
      <x:c r="E6" s="9" t="str">
        <x:v>Panel aperture</x:v>
      </x:c>
      <x:c r="F6" s="9" t="str">
        <x:v>Mount / local hole pattern</x:v>
      </x:c>
      <x:c r="G6" s="9" t="str">
        <x:v>Above mounting plane</x:v>
      </x:c>
      <x:c r="H6" s="9" t="str">
        <x:v>Below mounting plane</x:v>
      </x:c>
      <x:c r="I6" s="9" t="str">
        <x:v>Assembly / cable clearance</x:v>
      </x:c>
      <x:c r="J6" s="9" t="str">
        <x:v>Evidence class</x:v>
      </x:c>
      <x:c r="K6" s="9" t="str">
        <x:v>Remaining verification</x:v>
      </x:c>
      <x:c r="L6" s="9" t="str"/>
      <x:c r="M6" s="9" t="str">
        <x:v>Source URL</x:v>
      </x:c>
    </x:row>
    <x:row r="7" ht="44" customHeight="1">
      <x:c r="A7" s="10" t="str">
        <x:v>KEY-LIT</x:v>
      </x:c>
      <x:c r="B7" s="10" t="str">
        <x:v>APEM 3FTH9871KC11162K09</x:v>
      </x:c>
      <x:c r="C7" s="10" t="n">
        <x:v>27</x:v>
      </x:c>
      <x:c r="D7" s="10" t="str">
        <x:v>Cap 14.3x14.3; 2K flange 17.75x17.75; bezel lower outline 16.4</x:v>
      </x:c>
      <x:c r="E7" s="10" t="str">
        <x:v>Family minimum 14.7x14.7 uncoated; no production aperture released</x:v>
      </x:c>
      <x:c r="F7" s="10" t="str">
        <x:v>PCB-supported 3F through-hole; 7.62 pin-row reference. Obtain exact switch/LED footprint and bezel panel stack. No threaded panel nut.</x:v>
      </x:c>
      <x:c r="G7" s="10" t="str">
        <x:v>Drawing shows 19.1 concave reference and 20.1 rim reference above PCB; panel protrusion depends on PCB standoff datum.</x:v>
      </x:c>
      <x:c r="H7" s="10" t="str">
        <x:v>PCB + trimmed lead projection + connector/support stack TBD</x:v>
      </x:c>
      <x:c r="I7" s="10" t="str">
        <x:v>Use &gt;=17.75 bezel envelope, 22 centre pitch proposal; test lid removal, full travel and label insert</x:v>
      </x:c>
      <x:c r="J7" s="10" t="str">
        <x:v>Manufacturer family drawing and catalog MPN verified; no physical sample</x:v>
      </x:c>
      <x:c r="K7" s="10" t="str">
        <x:v>Quote/MOQ/lead time; exact assembly datum/footprint; finished-panel coupon; CAD unavailable</x:v>
      </x:c>
      <x:c r="L7" s="10" t="str"/>
      <x:c r="M7" s="10" t="str">
        <x:v>https://www.apem.com/storage/datasheets/files/MEC_switches_serie_1K_1KB_1KC/media/MEC-switches-serie-1K-1KB-1KC.pdf</x:v>
      </x:c>
    </x:row>
    <x:row r="8" ht="60" customHeight="1">
      <x:c r="A8" s="11" t="str">
        <x:v>CTL-01</x:v>
      </x:c>
      <x:c r="B8" s="11" t="str">
        <x:v>Omron / Aratas B3F-4050</x:v>
      </x:c>
      <x:c r="C8" s="11" t="n">
        <x:v>7</x:v>
      </x:c>
      <x:c r="D8" s="11" t="str">
        <x:v>12 x 12 x 7.3</x:v>
      </x:c>
      <x:c r="E8" s="11" t="str">
        <x:v>The switch body is not the panel aperture. Final aperture depends on the cap and guide.</x:v>
      </x:c>
      <x:c r="F8" s="11" t="str">
        <x:v>PCB mounted. Four PTH Ø1.20±0.05 at(±6.25,±2.50); two positioning NPTH Ø1.80±0.05 at(0,±4.50). Top view with switch-centre origin; Y downward. Lead-row spans12.50±0.10×5.00±0.10; boss spacing9.00±0.10.</x:v>
      </x:c>
      <x:c r="G8" s="11" t="str">
        <x:v>Uncapped actuator7.30±0.20 above seated PCB top. Cap overlap changes its top elevation.</x:v>
      </x:c>
      <x:c r="H8" s="11" t="str">
        <x:v>Untrimmed pins project3.5 below the seated-PCB datum nominally; a1.6 PCB leaves1.9 below its underside, calculated.</x:v>
      </x:c>
      <x:c r="I8" s="11" t="str">
        <x:v>Body12.00±0.20 in each axis; terminal outer span13.8±0.5. Pretravel0.30+0.20/−0.10. Panel must not become a travel stop.</x:v>
      </x:c>
      <x:c r="J8" s="11" t="str">
        <x:v>Manufacturer verified family drawing; received switches require measurement; not physically verified</x:v>
      </x:c>
      <x:c r="K8" s="11" t="str">
        <x:v>25 owned by owner count; use 7, retain 18. Meter contacts, fit 7 caps and coupon; no need to use all stock.</x:v>
      </x:c>
      <x:c r="L8" s="11" t="str"/>
      <x:c r="M8" s="11" t="str">
        <x:v>https://omronfs.omron.com/en_US/ecb/products/pdf/en-b3f.pdf</x:v>
      </x:c>
    </x:row>
    <x:row r="9" ht="60" customHeight="1">
      <x:c r="A9" s="10" t="str">
        <x:v>CTL-05</x:v>
      </x:c>
      <x:c r="B9" s="10" t="str">
        <x:v>Omron / Aratas B32-1310 cap</x:v>
      </x:c>
      <x:c r="C9" s="10" t="n">
        <x:v>7</x:v>
      </x:c>
      <x:c r="D9" s="10" t="str">
        <x:v>12 x 12 x 5.5</x:v>
      </x:c>
      <x:c r="E9" s="10" t="str">
        <x:v>Manufacturer12.20 +0.05/-0 uncoated square. Calculated12.8 square coated coupon is trial only; release after actual travel/finish fit.</x:v>
      </x:c>
      <x:c r="F9" s="10" t="str">
        <x:v>Push onto the projected B3F/B3W stem after soldering; no nut.</x:v>
      </x:c>
      <x:c r="G9" s="10" t="str">
        <x:v>Manufacturer assembled reference10.00±0.40 above PCB; do not add7.3+5.5.</x:v>
      </x:c>
      <x:c r="H9" s="10" t="str">
        <x:v>Depends on the actual PCB-to-panel datum; no separate under-panel fastening hardware.</x:v>
      </x:c>
      <x:c r="I9" s="10" t="str">
        <x:v>External cap12.00±0.15 square; external height5.5 with general±0.4. Test lateral wobble and full switch pretravel.</x:v>
      </x:c>
      <x:c r="J9" s="10" t="str">
        <x:v>Manufacturer verified; not physically verified</x:v>
      </x:c>
      <x:c r="K9" s="10" t="str">
        <x:v>Buy one fit cap first; seven total after coupon approval. Previous quantity15 superseded.</x:v>
      </x:c>
      <x:c r="L9" s="10" t="str"/>
      <x:c r="M9" s="10" t="str">
        <x:v>https://omronfs.omron.com/en_US/ecb/products/pdf/en-b32.pdf; https://omronfs.omron.com/en_US/ecb/products/pdf/en-b3f.pdf</x:v>
      </x:c>
    </x:row>
    <x:row r="10" ht="76" customHeight="1">
      <x:c r="A10" s="11" t="str">
        <x:v>CTL-07</x:v>
      </x:c>
      <x:c r="B10" s="11" t="str">
        <x:v>Bourns PEC11R-4220F-N0024</x:v>
      </x:c>
      <x:c r="C10" s="11" t="n">
        <x:v>6</x:v>
      </x:c>
      <x:c r="D10" s="11" t="str">
        <x:v>14 x 13.4 x None</x:v>
      </x:c>
      <x:c r="E10" s="11" t="str">
        <x:v>A clearance opening around the M7 bushing, not a tapped M7 panel hole. Final diameter requires the finished-stack coupon.</x:v>
      </x:c>
      <x:c r="F10" s="11" t="str">
        <x:v>M7×0.75;L20±0.5 frommountingsurface,LB7±0.3,F10±0.5;Ø6±0.1,flatdimension4.50 +0/-0.05. PCBcontact holesØ1.0 +0.1/-0 at(-2.5,0),(0,0),(2.5,0);mountslots centred(±6.6,-7.5),1.8 +0.2/-0 wide×2.6 +0.2/-0 tall;topviewcommonlead-origin. Orient exactrear-facingdrawing.</x:v>
      </x:c>
      <x:c r="G10" s="11" t="str">
        <x:v>Shaft above outer panel=L−finished panel thickness when mounting face bears on the underside. Knob elevation depends on engagement and recess. L20 does not mean20 above panel.</x:v>
      </x:c>
      <x:c r="H10" s="11" t="str">
        <x:v>Selected drawing body depth behind mounting face6.5 nominal. Measure PCB seating plane, pins and support stack. General tolerances: below10±0.3;10 or above±0.5.</x:v>
      </x:c>
      <x:c r="I10" s="11" t="str">
        <x:v>Supplied nut10.0±0.5 across flats,2.0±0.2 thick. Washer Ø12±0.3, boreØ7.1±0.3, thickness0.5. Case12.5×13.4; tabs span14 nominal.</x:v>
      </x:c>
      <x:c r="J10" s="11" t="str">
        <x:v>Manufacturer verified rear-facing variant; installed stack requires measurement; not physically verified</x:v>
      </x:c>
      <x:c r="K10" s="11" t="str">
        <x:v>Test one complete encoder/nut/washer/knob coupon; measure usable thread and PCB plane. Obtain a qualified assembly process; Bourns does not recommend hand soldering.</x:v>
      </x:c>
      <x:c r="L10" s="11" t="str"/>
      <x:c r="M10" s="11" t="str">
        <x:v>https://www.bourns.com/docs/product-datasheets/pec11r.pdf</x:v>
      </x:c>
    </x:row>
    <x:row r="11" ht="60" customHeight="1">
      <x:c r="A11" s="10" t="str">
        <x:v>CTL-08</x:v>
      </x:c>
      <x:c r="B11" s="10" t="str">
        <x:v>Adafruit 5527 knob</x:v>
      </x:c>
      <x:c r="C11" s="10" t="n">
        <x:v>6</x:v>
      </x:c>
      <x:c r="D11" s="10" t="str">
        <x:v>20 x 20 x 15.5</x:v>
      </x:c>
      <x:c r="E11" s="10" t="str">
        <x:v>No separate panel hole. The encoder bushing/aperture lies under it.</x:v>
      </x:c>
      <x:c r="F11" s="10" t="str">
        <x:v>Drawing bore6.00+0.05/−0; M4 set screw. Product page specifies2 mm hex key. Drawing recessØ15×3 deep; screw axis6.4 above bottom.</x:v>
      </x:c>
      <x:c r="G11" s="10" t="str">
        <x:v>Product page height12.5 conflicts with linked drawing overall15.5 including3 mm skirt. Reserve15.5 provisionally until actual sample is measured.</x:v>
      </x:c>
      <x:c r="H11" s="10" t="str">
        <x:v>Depends on skirt and engagement. Keep a running gap to the panel and supplied nut.</x:v>
      </x:c>
      <x:c r="I11" s="10" t="str">
        <x:v>Swept diameter20. Geometric non-overlap requires centre spacing≥20 plus chosen gap. Conditional32 mm planning pitch is an ergonomic allowance, not a manufacturer requirement.</x:v>
      </x:c>
      <x:c r="J11" s="10" t="str">
        <x:v>Manufacturer sources conflict;15.5 is a conservative drawing reference, not a measured height; not physically verified</x:v>
      </x:c>
      <x:c r="K11" s="10" t="str">
        <x:v>Measure height, bore depth, skirt bore and screw level. Ensure screw meets shaft flat and knob clears the nut and panel throughout rotation.</x:v>
      </x:c>
      <x:c r="L11" s="10" t="str"/>
      <x:c r="M11" s="10" t="str">
        <x:v>https://www.adafruit.com/product/5527; https://www.bourns.com/docs/product-datasheets/pec11r.pdf</x:v>
      </x:c>
    </x:row>
    <x:row r="12" ht="76" customHeight="1">
      <x:c r="A12" s="11" t="str">
        <x:v>CTL-09</x:v>
      </x:c>
      <x:c r="B12" s="11" t="str">
        <x:v>ServoCity 605616</x:v>
      </x:c>
      <x:c r="C12" s="11" t="n">
        <x:v>1</x:v>
      </x:c>
      <x:c r="D12" s="11" t="str">
        <x:v>Flange diameter53.594; total85.09; known body40.386 /49.5046 including side pot; second axis HOLD</x:v>
      </x:c>
      <x:c r="E12" s="11" t="str">
        <x:v>Dimensioned central ring Ø1.540 inches=39.116 is not an approved panel opening. Measure boss, stem and moving clearances. No hole enlargement is approved.</x:v>
      </x:c>
      <x:c r="F12" s="11" t="str">
        <x:v>Four nominal Ø0.100-inch clearance holes=2.540. Published Y-row pitch1.280 inches=32.512. Current drawing does not separately dimension X pitch; prior square interpretation remains conditional. Flange Ø2.110 inches=53.594.</x:v>
      </x:c>
      <x:c r="G12" s="11" t="str">
        <x:v>Neutral handle top56.515 above flange underside, calculated as total85.09−28.575. Flange thickness4.064; handle above flange top52.451.</x:v>
      </x:c>
      <x:c r="H12" s="11" t="str">
        <x:v>Lower shoulder3.175 plus body height25.4=28.575 below flange underside. If underside sits on panel top, below-panel-underside projection=28.575−finished panel thickness.</x:v>
      </x:c>
      <x:c r="I12" s="11" t="str">
        <x:v>Handle Ø35.6362. Dimensioned body width40.386, or49.5046 with side pot. Other body axis/tabs and maximum hand sweep unknown. X/Y travel50° total,±25°. Manufacturer states all axes spring-return.</x:v>
      </x:c>
      <x:c r="J12" s="11" t="str">
        <x:v>Manufacturer verified imperial drawing; mm conversions calculated; sample unmeasured; not physically verified</x:v>
      </x:c>
      <x:c r="K12" s="11" t="str">
        <x:v>Measure both pitches, holes, flange/boss, body on both axes and all9 solder tabs. Record full moving/hand sweep, attachment and cable access, and neutral return.</x:v>
      </x:c>
      <x:c r="L12" s="11" t="str"/>
      <x:c r="M12" s="11" t="str">
        <x:v>https://www.servocity.com/3-function-joystick/</x:v>
      </x:c>
    </x:row>
    <x:row r="13" ht="60" customHeight="1">
      <x:c r="A13" s="10" t="str">
        <x:v>UI-01</x:v>
      </x:c>
      <x:c r="B13" s="10" t="str">
        <x:v>Nextion NX4024T032_011</x:v>
      </x:c>
      <x:c r="C13" s="10" t="n">
        <x:v>1</x:v>
      </x:c>
      <x:c r="D13" s="10" t="str">
        <x:v>PCB95x47.6; hole grid88.6x41.2, diameter3.2; drawing2.0</x:v>
      </x:c>
      <x:c r="E13" s="10" t="str">
        <x:v>70.5x42.6 trial only at PCB centre X+2.73. Published active widths69.60 vs69.90 conflict; fit actual owned unit.</x:v>
      </x:c>
      <x:c r="F13" s="10" t="str">
        <x:v>Four Ø3.20 holes on88.60×41.20. Calculated front-view PCB-corner coordinates:(3.2,3.2),(91.8,3.2),(3.2,44.4),(91.8,44.4). General±0.2; PCB1.60±0.1.</x:v>
      </x:c>
      <x:c r="G13" s="10" t="str">
        <x:v>Front projection3.85±0.2 above PCB top per revision2 drawing. Actual bezel/panel datum unknown.</x:v>
      </x:c>
      <x:c r="H13" s="10" t="str">
        <x:v>Drawing rear connector6.0 below PCB underside; total3.85+1.60+6.0=11.45 nominal, calculated. Table5.8 is not a full installed bound.</x:v>
      </x:c>
      <x:c r="I13" s="10" t="str">
        <x:v>Active X-offset15.43=7.05+8.38. LCD offsets8.38+69.60+2.92=80.90 support HTML width; drawing69.90 conflicts. Back connector15.12×7.80; microSD region14.85×15.0. Copy exact back view and do not infer a mirrored pin order.</x:v>
      </x:c>
      <x:c r="J13" s="10" t="str">
        <x:v>Manufacturer family revision2.0 reference; owned revision remains unqualified; not physically verified</x:v>
      </x:c>
      <x:c r="K13" s="10" t="str">
        <x:v>Photograph rear model/revision. Measure holes, active area/offsets, both-face maximum heights, mated plug, bend radius and microSD service access.</x:v>
      </x:c>
      <x:c r="L13" s="10" t="str"/>
      <x:c r="M13" s="10" t="str">
        <x:v>https://nextion.tech/datasheets/nx4024t032/</x:v>
      </x:c>
    </x:row>
    <x:row r="14" ht="76" customHeight="1">
      <x:c r="A14" s="11" t="str">
        <x:v>MCU-02</x:v>
      </x:c>
      <x:c r="B14" s="11" t="str">
        <x:v>WIZnet W55RP20-EVB-PICO</x:v>
      </x:c>
      <x:c r="C14" s="11" t="n">
        <x:v>1</x:v>
      </x:c>
      <x:c r="D14" s="11" t="str">
        <x:v>PCB80x21x1.62; genuine model85.35x21x16.60</x:v>
      </x:c>
      <x:c r="E14" s="11" t="str">
        <x:v>USB-C and Ethernet openings remain blocked until actual faces, plug clearances and socketed height are qualified.</x:v>
      </x:c>
      <x:c r="F14" s="11" t="str">
        <x:v>Manufacturer80×21 PCB plan. Authentic CAD-derived reference:PCB thickness1.62; mounting holesØ2 at(78,3.5),(78,17.5). Header20-hole rows atY1.61 and19.39, spacing17.78; X27.37…75.63 in2.54 steps. Coordinates must match actual received board/socket before release.</x:v>
      </x:c>
      <x:c r="G14" s="11" t="str">
        <x:v>Internal board: retain BOOTSEL, RUN and SWD access.</x:v>
      </x:c>
      <x:c r="H14" s="11" t="str">
        <x:v>Authentic CAD full bound85.35×21×16.60;13.35 above PCB top,1.63 below PCB underside. Socket, mated plugs and lead assembly add further space. Actual installed height remains unqualified.</x:v>
      </x:c>
      <x:c r="I14" s="11" t="str">
        <x:v>Provide actual USB-C/Ethernet insertion and strain relief. No additional Ethernet jack is required. Authentic manufacturer STEP is supplied.</x:v>
      </x:c>
      <x:c r="J14" s="11" t="str">
        <x:v>Manufacturer verified80×21 PCB plan; CAD-derived full model85.35×21×16.60. Installed socket/plug stack remains unmeasured.; not physically verified</x:v>
      </x:c>
      <x:c r="K14" s="11" t="str">
        <x:v>After receipt, confirm revision, length, width, row spacing, holes, tallest parts, jack faces and the actual socket stack.</x:v>
      </x:c>
      <x:c r="L14" s="11" t="str"/>
      <x:c r="M14" s="11" t="str">
        <x:v>https://docs.wiznet.io/Product/Chip/MCU/W55RP20/w55rp20-evb-pico; https://docs.wiznet.io/img/products/3d-step-files/W55RP20-EVB-Pico_V100.step</x:v>
      </x:c>
    </x:row>
    <x:row r="15" ht="60" customHeight="1">
      <x:c r="A15" s="10" t="str">
        <x:v>COM-03</x:v>
      </x:c>
      <x:c r="B15" s="10" t="str">
        <x:v>Amphenol RJHSE5080</x:v>
      </x:c>
      <x:c r="C15" s="10" t="n">
        <x:v>4</x:v>
      </x:c>
      <x:c r="D15" s="10" t="str">
        <x:v>15.75 x 14.99 x 13.21</x:v>
      </x:c>
      <x:c r="E15" s="10" t="str">
        <x:v>Manufacturer uncoated rectangle16.129×13.208, cornerR0.254. Add finish, component/profile-cutting tolerances and registration; test coated coupon.</x:v>
      </x:c>
      <x:c r="F15" s="10" t="str">
        <x:v>Eight PTHØ0.889±0.0508; two retention holesØ3.2512±0.0508 at12.70 pitch. Contact pitch and stagger must follow the exact component-side drawing.</x:v>
      </x:c>
      <x:c r="G15" s="10" t="str">
        <x:v>Manufacturer drawing front-panel positioning relation2.032±0.254 must be copied using its view datum.</x:v>
      </x:c>
      <x:c r="H15" s="10" t="str">
        <x:v>Body depth14.986; nominal terminal projection2.540 below PCB seating plane.</x:v>
      </x:c>
      <x:c r="I15" s="10" t="str">
        <x:v>Nominal width15.748, depth14.986, height13.208. General three-decimal imperial tolerance±0.015 inches=±0.381. Actual plug boot, latch and bend access required;25 mm insertion allocation is provisional.</x:v>
      </x:c>
      <x:c r="J15" s="10" t="str">
        <x:v>Manufacturer verified revisionJ; imperial primary dimensions converted to mm; not physically verified</x:v>
      </x:c>
      <x:c r="K15" s="10" t="str">
        <x:v>Test face alignment and coated coupon with the actual jack/plug. Establish PCB edge and shared rear datum. Mark serial ports RS-422 CAM1–4, NO LAN/NO PoE.</x:v>
      </x:c>
      <x:c r="L15" s="10" t="str"/>
      <x:c r="M15" s="10" t="str">
        <x:v>https://cdn.amphenol-cs.com/media/wysiwyg/files/drawing/p-rjhse-5080.pdf</x:v>
      </x:c>
    </x:row>
    <x:row r="16" ht="44" customHeight="1">
      <x:c r="A16" s="11" t="str">
        <x:v>PCB</x:v>
      </x:c>
      <x:c r="B16" s="11" t="str">
        <x:v>MAIN, control boards and removable mounting tray</x:v>
      </x:c>
      <x:c r="C16" s="11"/>
      <x:c r="D16" s="11" t="str">
        <x:v>MAIN reserve120x90 on base; control-board outlines not released</x:v>
      </x:c>
      <x:c r="E16" s="11" t="str">
        <x:v>No PCB-dependent holes in shell until layout approved</x:v>
      </x:c>
      <x:c r="F16" s="11" t="str">
        <x:v>Proposed removable internal tray with hole grid for later brackets; all bracket patterns HOLD</x:v>
      </x:c>
      <x:c r="G16" s="11" t="str">
        <x:v>Below control panel: reserve35 normal depth for switch support PCBs; encoder stack25 trial</x:v>
      </x:c>
      <x:c r="H16" s="11" t="str">
        <x:v>Base-mounted electronics reserve30 vertical above base; keep joystick underside volume empty</x:v>
      </x:c>
      <x:c r="I16" s="11" t="str">
        <x:v>No interference inferred from 2D control packing. PCB routing, support reactions, plug withdrawal and 3D fit remain open.</x:v>
      </x:c>
      <x:c r="J16" s="11" t="str">
        <x:v>Engineering planning allowance</x:v>
      </x:c>
      <x:c r="K16" s="11" t="str">
        <x:v>Freeze PCB architecture, supports, mounting grid and stiffening; no new KiCad outputs</x:v>
      </x:c>
      <x:c r="L16" s="11" t="str"/>
      <x:c r="M16" s="11" t="str">
        <x:v>R6.2 PCB change specification; current proposal</x:v>
      </x:c>
    </x:row>
    <x:row r="17" ht="44" customHeight="1">
      <x:c r="A17" s="10" t="str">
        <x:v>POWER</x:v>
      </x:c>
      <x:c r="B17" s="10" t="str">
        <x:v>5V DC input and protection</x:v>
      </x:c>
      <x:c r="C17" s="10" t="n">
        <x:v>1</x:v>
      </x:c>
      <x:c r="D17" s="10" t="str">
        <x:v>Mean Well GST18U05-P1J external supply; panel jack MPN not selected</x:v>
      </x:c>
      <x:c r="E17" s="10" t="str">
        <x:v>HOLD: exact jack bushing, antirotation and fuse/service opening</x:v>
      </x:c>
      <x:c r="F17" s="10" t="str">
        <x:v>Prefer panel-mounted 5.5/2.1 centre-positive candidate matched to adapter; drawing required</x:v>
      </x:c>
      <x:c r="G17" s="10" t="str">
        <x:v>Connector protrusion TBD</x:v>
      </x:c>
      <x:c r="H17" s="10" t="str">
        <x:v>Reserve35 inside from rear plane as planning allowance</x:v>
      </x:c>
      <x:c r="I17" s="10" t="str">
        <x:v>Avoid USB/external source backfeed; board VSYS4.3-5.5 after protection</x:v>
      </x:c>
      <x:c r="J17" s="10" t="str">
        <x:v>Supply rating manufacturer / protection design HOLD</x:v>
      </x:c>
      <x:c r="K17" s="10" t="str">
        <x:v>Select jack, fuse/holder and power ORing topology; actual current and inrush</x:v>
      </x:c>
      <x:c r="L17" s="10" t="str"/>
      <x:c r="M17" s="10" t="str">
        <x:v>https://www.meanwell.com/Upload/PDF/GST18U/GST18U-SPEC.PDF</x:v>
      </x:c>
    </x:row>
    <x:row r="18" ht="44" customHeight="1">
      <x:c r="A18" s="11" t="str">
        <x:v>HARDWARE</x:v>
      </x:c>
      <x:c r="B18" s="11" t="str">
        <x:v>Front, rear and bottom fasteners</x:v>
      </x:c>
      <x:c r="C18" s="11" t="n">
        <x:v>1</x:v>
      </x:c>
      <x:c r="D18" s="11" t="str">
        <x:v>M3 low pan-head preferred; counts8 front+6 rear+8 bottom=22 case screws</x:v>
      </x:c>
      <x:c r="E18" s="11" t="str">
        <x:v>Proposed3.4 clearance, finish/fit HOLD; PEM mounting hole by supplier</x:v>
      </x:c>
      <x:c r="F18" s="11" t="str">
        <x:v>Front top8 centres; rear6; bottom8 in Mounts sheet. No countersunk thin-panel holes.</x:v>
      </x:c>
      <x:c r="G18" s="11" t="str">
        <x:v>Screw head height by selected stock hardware</x:v>
      </x:c>
      <x:c r="H18" s="11" t="str">
        <x:v>Captive nut/standoff length and driver access TBD</x:v>
      </x:c>
      <x:c r="I18" s="11" t="str">
        <x:v>Choose Protocase stock hardware; include wire service loops and no harness over fasteners</x:v>
      </x:c>
      <x:c r="J18" s="11" t="str">
        <x:v>Project proposal</x:v>
      </x:c>
      <x:c r="K18" s="11" t="str">
        <x:v>Protocase confirms PEM family suitability at1.63 sheet and screw engagement; no tapped bare sheet</x:v>
      </x:c>
      <x:c r="L18" s="11" t="str"/>
      <x:c r="M18" s="11" t="str">
        <x:v>https://www.protocase.com/resources/bend-radii/</x:v>
      </x:c>
    </x:row>
    <x:row r="19" ht="44" customHeight="1">
      <x:c r="A19" s="10" t="str">
        <x:v>HARNESS</x:v>
      </x:c>
      <x:c r="B19" s="10" t="str">
        <x:v>JST XH board headers/housings and precrimp leads</x:v>
      </x:c>
      <x:c r="C19" s="10" t="n">
        <x:v>1</x:v>
      </x:c>
      <x:c r="D19" s="10" t="str">
        <x:v>2.50 pitch; assembled9.8 height; header width(n-1)*2.5+4.9</x:v>
      </x:c>
      <x:c r="E19" s="10" t="str">
        <x:v>Internal only; PCB footprint from exact vertical header variant</x:v>
      </x:c>
      <x:c r="F19" s="10" t="str">
        <x:v>Locking headers; factory crimp leads where practical. Qty/ways depend on new control PCBs.</x:v>
      </x:c>
      <x:c r="G19" s="10" t="str">
        <x:v>n.a.</x:v>
      </x:c>
      <x:c r="H19" s="10" t="str">
        <x:v>9.8 connector plus10 trial cable/service depth, adjust with actual harness</x:v>
      </x:c>
      <x:c r="I19" s="10" t="str">
        <x:v>Service loop &gt;=50 trial length beyond route; connector grip/withdrawal clearance by sample</x:v>
      </x:c>
      <x:c r="J19" s="10" t="str">
        <x:v>Manufacturer family drawing; cable allowances proposed</x:v>
      </x:c>
      <x:c r="K19" s="10" t="str">
        <x:v>Do not copy old38-lead quantity or double-count housings under harness assembly</x:v>
      </x:c>
      <x:c r="L19" s="10" t="str"/>
      <x:c r="M19" s="10" t="str">
        <x:v>https://www.jst-mfg.com/product/pdf/eng/eXH.pdf</x:v>
      </x:c>
    </x:row>
  </x:sheetData>
  <x:conditionalFormatting sqref="K7:K19">
    <x:cfRule type="containsText" dxfId="3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942761e9472d49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27" hidden="0" customWidth="1"/>
    <x:col min="6" max="6" width="38" hidden="0" customWidth="1"/>
    <x:col min="7" max="7" width="7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Mounting coordinate proposals and manufacturer references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5" t="str">
        <x:v>Preliminary engineering schedule. HOLD features are not released for fabrication.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6" customHeight="1">
      <x:c r="A6" s="9" t="str">
        <x:v>ID</x:v>
      </x:c>
      <x:c r="B6" s="9" t="str">
        <x:v>Coordinate basis</x:v>
      </x:c>
      <x:c r="C6" s="9" t="str">
        <x:v>X mm</x:v>
      </x:c>
      <x:c r="D6" s="9" t="str">
        <x:v>Y / Z mm</x:v>
      </x:c>
      <x:c r="E6" s="9" t="str">
        <x:v>Hole diameter mm</x:v>
      </x:c>
      <x:c r="F6" s="9" t="str">
        <x:v>Fastener</x:v>
      </x:c>
      <x:c r="G6" s="9" t="str">
        <x:v>Verification / release</x:v>
      </x:c>
    </x:row>
    <x:row r="7" ht="34" customHeight="1">
      <x:c r="A7" s="10" t="str">
        <x:v>F1</x:v>
      </x:c>
      <x:c r="B7" s="10" t="str">
        <x:v>Sloped panel</x:v>
      </x:c>
      <x:c r="C7" s="14" t="n">
        <x:v>12</x:v>
      </x:c>
      <x:c r="D7" s="14" t="n">
        <x:v>8</x:v>
      </x:c>
      <x:c r="E7" s="10" t="str">
        <x:v>3.4 trial</x:v>
      </x:c>
      <x:c r="F7" s="10" t="str">
        <x:v>M3 stock captive hardware</x:v>
      </x:c>
      <x:c r="G7" s="10" t="str">
        <x:v>PROPOSED HOLD</x:v>
      </x:c>
    </x:row>
    <x:row r="8" ht="34" customHeight="1">
      <x:c r="A8" s="11" t="str">
        <x:v>F2</x:v>
      </x:c>
      <x:c r="B8" s="11" t="str">
        <x:v>Sloped panel</x:v>
      </x:c>
      <x:c r="C8" s="15" t="n">
        <x:v>137</x:v>
      </x:c>
      <x:c r="D8" s="15" t="n">
        <x:v>8</x:v>
      </x:c>
      <x:c r="E8" s="11" t="str">
        <x:v>3.4 trial</x:v>
      </x:c>
      <x:c r="F8" s="11" t="str">
        <x:v>M3 stock captive hardware</x:v>
      </x:c>
      <x:c r="G8" s="11" t="str">
        <x:v>PROPOSED HOLD</x:v>
      </x:c>
    </x:row>
    <x:row r="9" ht="34" customHeight="1">
      <x:c r="A9" s="10" t="str">
        <x:v>F3</x:v>
      </x:c>
      <x:c r="B9" s="10" t="str">
        <x:v>Sloped panel</x:v>
      </x:c>
      <x:c r="C9" s="14" t="n">
        <x:v>263</x:v>
      </x:c>
      <x:c r="D9" s="14" t="n">
        <x:v>8</x:v>
      </x:c>
      <x:c r="E9" s="10" t="str">
        <x:v>3.4 trial</x:v>
      </x:c>
      <x:c r="F9" s="10" t="str">
        <x:v>M3 stock captive hardware</x:v>
      </x:c>
      <x:c r="G9" s="10" t="str">
        <x:v>PROPOSED HOLD</x:v>
      </x:c>
    </x:row>
    <x:row r="10" ht="34" customHeight="1">
      <x:c r="A10" s="11" t="str">
        <x:v>F4</x:v>
      </x:c>
      <x:c r="B10" s="11" t="str">
        <x:v>Sloped panel</x:v>
      </x:c>
      <x:c r="C10" s="15" t="n">
        <x:v>388</x:v>
      </x:c>
      <x:c r="D10" s="15" t="n">
        <x:v>8</x:v>
      </x:c>
      <x:c r="E10" s="11" t="str">
        <x:v>3.4 trial</x:v>
      </x:c>
      <x:c r="F10" s="11" t="str">
        <x:v>M3 stock captive hardware</x:v>
      </x:c>
      <x:c r="G10" s="11" t="str">
        <x:v>PROPOSED HOLD</x:v>
      </x:c>
    </x:row>
    <x:row r="11" ht="34" customHeight="1">
      <x:c r="A11" s="10" t="str">
        <x:v>F5</x:v>
      </x:c>
      <x:c r="B11" s="10" t="str">
        <x:v>Sloped panel</x:v>
      </x:c>
      <x:c r="C11" s="14" t="n">
        <x:v>12</x:v>
      </x:c>
      <x:c r="D11" s="14" t="n">
        <x:v>222</x:v>
      </x:c>
      <x:c r="E11" s="10" t="str">
        <x:v>3.4 trial</x:v>
      </x:c>
      <x:c r="F11" s="10" t="str">
        <x:v>M3 stock captive hardware</x:v>
      </x:c>
      <x:c r="G11" s="10" t="str">
        <x:v>PROPOSED HOLD</x:v>
      </x:c>
    </x:row>
    <x:row r="12" ht="34" customHeight="1">
      <x:c r="A12" s="11" t="str">
        <x:v>F6</x:v>
      </x:c>
      <x:c r="B12" s="11" t="str">
        <x:v>Sloped panel</x:v>
      </x:c>
      <x:c r="C12" s="15" t="n">
        <x:v>137</x:v>
      </x:c>
      <x:c r="D12" s="15" t="n">
        <x:v>222</x:v>
      </x:c>
      <x:c r="E12" s="11" t="str">
        <x:v>3.4 trial</x:v>
      </x:c>
      <x:c r="F12" s="11" t="str">
        <x:v>M3 stock captive hardware</x:v>
      </x:c>
      <x:c r="G12" s="11" t="str">
        <x:v>PROPOSED HOLD</x:v>
      </x:c>
    </x:row>
    <x:row r="13" ht="34" customHeight="1">
      <x:c r="A13" s="10" t="str">
        <x:v>F7</x:v>
      </x:c>
      <x:c r="B13" s="10" t="str">
        <x:v>Sloped panel</x:v>
      </x:c>
      <x:c r="C13" s="14" t="n">
        <x:v>263</x:v>
      </x:c>
      <x:c r="D13" s="14" t="n">
        <x:v>222</x:v>
      </x:c>
      <x:c r="E13" s="10" t="str">
        <x:v>3.4 trial</x:v>
      </x:c>
      <x:c r="F13" s="10" t="str">
        <x:v>M3 stock captive hardware</x:v>
      </x:c>
      <x:c r="G13" s="10" t="str">
        <x:v>PROPOSED HOLD</x:v>
      </x:c>
    </x:row>
    <x:row r="14" ht="34" customHeight="1">
      <x:c r="A14" s="11" t="str">
        <x:v>F8</x:v>
      </x:c>
      <x:c r="B14" s="11" t="str">
        <x:v>Sloped panel</x:v>
      </x:c>
      <x:c r="C14" s="15" t="n">
        <x:v>388</x:v>
      </x:c>
      <x:c r="D14" s="15" t="n">
        <x:v>222</x:v>
      </x:c>
      <x:c r="E14" s="11" t="str">
        <x:v>3.4 trial</x:v>
      </x:c>
      <x:c r="F14" s="11" t="str">
        <x:v>M3 stock captive hardware</x:v>
      </x:c>
      <x:c r="G14" s="11" t="str">
        <x:v>PROPOSED HOLD</x:v>
      </x:c>
    </x:row>
    <x:row r="15" ht="34" customHeight="1">
      <x:c r="A15" s="10" t="str">
        <x:v>R1</x:v>
      </x:c>
      <x:c r="B15" s="10" t="str">
        <x:v>Rear global X,Z</x:v>
      </x:c>
      <x:c r="C15" s="14" t="n">
        <x:v>16</x:v>
      </x:c>
      <x:c r="D15" s="14" t="n">
        <x:v>16</x:v>
      </x:c>
      <x:c r="E15" s="10" t="str">
        <x:v>3.4 trial</x:v>
      </x:c>
      <x:c r="F15" s="10" t="str">
        <x:v>M3 stock captive hardware</x:v>
      </x:c>
      <x:c r="G15" s="10" t="str">
        <x:v>PROPOSED HOLD</x:v>
      </x:c>
    </x:row>
    <x:row r="16" ht="34" customHeight="1">
      <x:c r="A16" s="11" t="str">
        <x:v>R2</x:v>
      </x:c>
      <x:c r="B16" s="11" t="str">
        <x:v>Rear global X,Z</x:v>
      </x:c>
      <x:c r="C16" s="15" t="n">
        <x:v>200</x:v>
      </x:c>
      <x:c r="D16" s="15" t="n">
        <x:v>16</x:v>
      </x:c>
      <x:c r="E16" s="11" t="str">
        <x:v>3.4 trial</x:v>
      </x:c>
      <x:c r="F16" s="11" t="str">
        <x:v>M3 stock captive hardware</x:v>
      </x:c>
      <x:c r="G16" s="11" t="str">
        <x:v>PROPOSED HOLD</x:v>
      </x:c>
    </x:row>
    <x:row r="17" ht="34" customHeight="1">
      <x:c r="A17" s="10" t="str">
        <x:v>R3</x:v>
      </x:c>
      <x:c r="B17" s="10" t="str">
        <x:v>Rear global X,Z</x:v>
      </x:c>
      <x:c r="C17" s="14" t="n">
        <x:v>384</x:v>
      </x:c>
      <x:c r="D17" s="14" t="n">
        <x:v>16</x:v>
      </x:c>
      <x:c r="E17" s="10" t="str">
        <x:v>3.4 trial</x:v>
      </x:c>
      <x:c r="F17" s="10" t="str">
        <x:v>M3 stock captive hardware</x:v>
      </x:c>
      <x:c r="G17" s="10" t="str">
        <x:v>PROPOSED HOLD</x:v>
      </x:c>
    </x:row>
    <x:row r="18" ht="34" customHeight="1">
      <x:c r="A18" s="11" t="str">
        <x:v>R4</x:v>
      </x:c>
      <x:c r="B18" s="11" t="str">
        <x:v>Rear global X,Z</x:v>
      </x:c>
      <x:c r="C18" s="15" t="n">
        <x:v>16</x:v>
      </x:c>
      <x:c r="D18" s="15" t="n">
        <x:v>79</x:v>
      </x:c>
      <x:c r="E18" s="11" t="str">
        <x:v>3.4 trial</x:v>
      </x:c>
      <x:c r="F18" s="11" t="str">
        <x:v>M3 stock captive hardware</x:v>
      </x:c>
      <x:c r="G18" s="11" t="str">
        <x:v>PROPOSED HOLD</x:v>
      </x:c>
    </x:row>
    <x:row r="19" ht="34" customHeight="1">
      <x:c r="A19" s="10" t="str">
        <x:v>R5</x:v>
      </x:c>
      <x:c r="B19" s="10" t="str">
        <x:v>Rear global X,Z</x:v>
      </x:c>
      <x:c r="C19" s="14" t="n">
        <x:v>200</x:v>
      </x:c>
      <x:c r="D19" s="14" t="n">
        <x:v>79</x:v>
      </x:c>
      <x:c r="E19" s="10" t="str">
        <x:v>3.4 trial</x:v>
      </x:c>
      <x:c r="F19" s="10" t="str">
        <x:v>M3 stock captive hardware</x:v>
      </x:c>
      <x:c r="G19" s="10" t="str">
        <x:v>PROPOSED HOLD</x:v>
      </x:c>
    </x:row>
    <x:row r="20" ht="34" customHeight="1">
      <x:c r="A20" s="11" t="str">
        <x:v>R6</x:v>
      </x:c>
      <x:c r="B20" s="11" t="str">
        <x:v>Rear global X,Z</x:v>
      </x:c>
      <x:c r="C20" s="15" t="n">
        <x:v>384</x:v>
      </x:c>
      <x:c r="D20" s="15" t="n">
        <x:v>79</x:v>
      </x:c>
      <x:c r="E20" s="11" t="str">
        <x:v>3.4 trial</x:v>
      </x:c>
      <x:c r="F20" s="11" t="str">
        <x:v>M3 stock captive hardware</x:v>
      </x:c>
      <x:c r="G20" s="11" t="str">
        <x:v>PROPOSED HOLD</x:v>
      </x:c>
    </x:row>
    <x:row r="21" ht="34" customHeight="1">
      <x:c r="A21" s="10" t="str">
        <x:v>B1</x:v>
      </x:c>
      <x:c r="B21" s="10" t="str">
        <x:v>Base X,Y</x:v>
      </x:c>
      <x:c r="C21" s="14" t="n">
        <x:v>12</x:v>
      </x:c>
      <x:c r="D21" s="14" t="n">
        <x:v>8</x:v>
      </x:c>
      <x:c r="E21" s="10" t="str">
        <x:v>3.4 trial</x:v>
      </x:c>
      <x:c r="F21" s="10" t="str">
        <x:v>M3 stock captive hardware</x:v>
      </x:c>
      <x:c r="G21" s="10" t="str">
        <x:v>PROPOSED HOLD</x:v>
      </x:c>
    </x:row>
    <x:row r="22" ht="34" customHeight="1">
      <x:c r="A22" s="11" t="str">
        <x:v>B2</x:v>
      </x:c>
      <x:c r="B22" s="11" t="str">
        <x:v>Base X,Y</x:v>
      </x:c>
      <x:c r="C22" s="15" t="n">
        <x:v>137</x:v>
      </x:c>
      <x:c r="D22" s="15" t="n">
        <x:v>8</x:v>
      </x:c>
      <x:c r="E22" s="11" t="str">
        <x:v>3.4 trial</x:v>
      </x:c>
      <x:c r="F22" s="11" t="str">
        <x:v>M3 stock captive hardware</x:v>
      </x:c>
      <x:c r="G22" s="11" t="str">
        <x:v>PROPOSED HOLD</x:v>
      </x:c>
    </x:row>
    <x:row r="23" ht="34" customHeight="1">
      <x:c r="A23" s="10" t="str">
        <x:v>B3</x:v>
      </x:c>
      <x:c r="B23" s="10" t="str">
        <x:v>Base X,Y</x:v>
      </x:c>
      <x:c r="C23" s="14" t="n">
        <x:v>263</x:v>
      </x:c>
      <x:c r="D23" s="14" t="n">
        <x:v>8</x:v>
      </x:c>
      <x:c r="E23" s="10" t="str">
        <x:v>3.4 trial</x:v>
      </x:c>
      <x:c r="F23" s="10" t="str">
        <x:v>M3 stock captive hardware</x:v>
      </x:c>
      <x:c r="G23" s="10" t="str">
        <x:v>PROPOSED HOLD</x:v>
      </x:c>
    </x:row>
    <x:row r="24" ht="34" customHeight="1">
      <x:c r="A24" s="11" t="str">
        <x:v>B4</x:v>
      </x:c>
      <x:c r="B24" s="11" t="str">
        <x:v>Base X,Y</x:v>
      </x:c>
      <x:c r="C24" s="15" t="n">
        <x:v>388</x:v>
      </x:c>
      <x:c r="D24" s="15" t="n">
        <x:v>8</x:v>
      </x:c>
      <x:c r="E24" s="11" t="str">
        <x:v>3.4 trial</x:v>
      </x:c>
      <x:c r="F24" s="11" t="str">
        <x:v>M3 stock captive hardware</x:v>
      </x:c>
      <x:c r="G24" s="11" t="str">
        <x:v>PROPOSED HOLD</x:v>
      </x:c>
    </x:row>
    <x:row r="25" ht="34" customHeight="1">
      <x:c r="A25" s="10" t="str">
        <x:v>B5</x:v>
      </x:c>
      <x:c r="B25" s="10" t="str">
        <x:v>Base X,Y</x:v>
      </x:c>
      <x:c r="C25" s="14" t="n">
        <x:v>12</x:v>
      </x:c>
      <x:c r="D25" s="14" t="n">
        <x:v>218</x:v>
      </x:c>
      <x:c r="E25" s="10" t="str">
        <x:v>3.4 trial</x:v>
      </x:c>
      <x:c r="F25" s="10" t="str">
        <x:v>M3 stock captive hardware</x:v>
      </x:c>
      <x:c r="G25" s="10" t="str">
        <x:v>PROPOSED HOLD</x:v>
      </x:c>
    </x:row>
    <x:row r="26" ht="34" customHeight="1">
      <x:c r="A26" s="11" t="str">
        <x:v>B6</x:v>
      </x:c>
      <x:c r="B26" s="11" t="str">
        <x:v>Base X,Y</x:v>
      </x:c>
      <x:c r="C26" s="15" t="n">
        <x:v>137</x:v>
      </x:c>
      <x:c r="D26" s="15" t="n">
        <x:v>218</x:v>
      </x:c>
      <x:c r="E26" s="11" t="str">
        <x:v>3.4 trial</x:v>
      </x:c>
      <x:c r="F26" s="11" t="str">
        <x:v>M3 stock captive hardware</x:v>
      </x:c>
      <x:c r="G26" s="11" t="str">
        <x:v>PROPOSED HOLD</x:v>
      </x:c>
    </x:row>
    <x:row r="27" ht="34" customHeight="1">
      <x:c r="A27" s="10" t="str">
        <x:v>B7</x:v>
      </x:c>
      <x:c r="B27" s="10" t="str">
        <x:v>Base X,Y</x:v>
      </x:c>
      <x:c r="C27" s="14" t="n">
        <x:v>263</x:v>
      </x:c>
      <x:c r="D27" s="14" t="n">
        <x:v>218</x:v>
      </x:c>
      <x:c r="E27" s="10" t="str">
        <x:v>3.4 trial</x:v>
      </x:c>
      <x:c r="F27" s="10" t="str">
        <x:v>M3 stock captive hardware</x:v>
      </x:c>
      <x:c r="G27" s="10" t="str">
        <x:v>PROPOSED HOLD</x:v>
      </x:c>
    </x:row>
    <x:row r="28" ht="34" customHeight="1">
      <x:c r="A28" s="11" t="str">
        <x:v>B8</x:v>
      </x:c>
      <x:c r="B28" s="11" t="str">
        <x:v>Base X,Y</x:v>
      </x:c>
      <x:c r="C28" s="15" t="n">
        <x:v>388</x:v>
      </x:c>
      <x:c r="D28" s="15" t="n">
        <x:v>218</x:v>
      </x:c>
      <x:c r="E28" s="11" t="str">
        <x:v>3.4 trial</x:v>
      </x:c>
      <x:c r="F28" s="11" t="str">
        <x:v>M3 stock captive hardware</x:v>
      </x:c>
      <x:c r="G28" s="11" t="str">
        <x:v>PROPOSED HOLD</x:v>
      </x:c>
    </x:row>
    <x:row r="29" ht="34" customHeight="1">
      <x:c r="A29" s="10" t="str">
        <x:v>D1</x:v>
      </x:c>
      <x:c r="B29" s="10" t="str">
        <x:v>Display PCB in panel basis</x:v>
      </x:c>
      <x:c r="C29" s="14" t="n">
        <x:v>185.7</x:v>
      </x:c>
      <x:c r="D29" s="14" t="n">
        <x:v>161.4</x:v>
      </x:c>
      <x:c r="E29" s="10" t="str">
        <x:v>PCB hole3.2</x:v>
      </x:c>
      <x:c r="F29" s="10" t="str">
        <x:v>M3 screw/standoff candidate</x:v>
      </x:c>
      <x:c r="G29" s="10" t="str">
        <x:v>MFR reference + proposed placement; panel support HOLD</x:v>
      </x:c>
    </x:row>
    <x:row r="30" ht="34" customHeight="1">
      <x:c r="A30" s="11" t="str">
        <x:v>D2</x:v>
      </x:c>
      <x:c r="B30" s="11" t="str">
        <x:v>Display PCB in panel basis</x:v>
      </x:c>
      <x:c r="C30" s="15" t="n">
        <x:v>274.3</x:v>
      </x:c>
      <x:c r="D30" s="15" t="n">
        <x:v>161.4</x:v>
      </x:c>
      <x:c r="E30" s="11" t="str">
        <x:v>PCB hole3.2</x:v>
      </x:c>
      <x:c r="F30" s="11" t="str">
        <x:v>M3 screw/standoff candidate</x:v>
      </x:c>
      <x:c r="G30" s="11" t="str">
        <x:v>MFR reference + proposed placement; panel support HOLD</x:v>
      </x:c>
    </x:row>
    <x:row r="31" ht="34" customHeight="1">
      <x:c r="A31" s="10" t="str">
        <x:v>D3</x:v>
      </x:c>
      <x:c r="B31" s="10" t="str">
        <x:v>Display PCB in panel basis</x:v>
      </x:c>
      <x:c r="C31" s="14" t="n">
        <x:v>185.7</x:v>
      </x:c>
      <x:c r="D31" s="14" t="n">
        <x:v>202.6</x:v>
      </x:c>
      <x:c r="E31" s="10" t="str">
        <x:v>PCB hole3.2</x:v>
      </x:c>
      <x:c r="F31" s="10" t="str">
        <x:v>M3 screw/standoff candidate</x:v>
      </x:c>
      <x:c r="G31" s="10" t="str">
        <x:v>MFR reference + proposed placement; panel support HOLD</x:v>
      </x:c>
    </x:row>
    <x:row r="32" ht="34" customHeight="1">
      <x:c r="A32" s="11" t="str">
        <x:v>D4</x:v>
      </x:c>
      <x:c r="B32" s="11" t="str">
        <x:v>Display PCB in panel basis</x:v>
      </x:c>
      <x:c r="C32" s="15" t="n">
        <x:v>274.3</x:v>
      </x:c>
      <x:c r="D32" s="15" t="n">
        <x:v>202.6</x:v>
      </x:c>
      <x:c r="E32" s="11" t="str">
        <x:v>PCB hole3.2</x:v>
      </x:c>
      <x:c r="F32" s="11" t="str">
        <x:v>M3 screw/standoff candidate</x:v>
      </x:c>
      <x:c r="G32" s="11" t="str">
        <x:v>MFR reference + proposed placement; panel support HOLD</x:v>
      </x:c>
    </x:row>
    <x:row r="33" ht="44" customHeight="1">
      <x:c r="A33" s="10" t="str">
        <x:v>J1</x:v>
      </x:c>
      <x:c r="B33" s="10" t="str">
        <x:v>Joystick in panel basis</x:v>
      </x:c>
      <x:c r="C33" s="14" t="n">
        <x:v>323.744</x:v>
      </x:c>
      <x:c r="D33" s="14" t="n">
        <x:v>121.744</x:v>
      </x:c>
      <x:c r="E33" s="10" t="str">
        <x:v>Part hole2.54; panelhole HOLD</x:v>
      </x:c>
      <x:c r="F33" s="10" t="str">
        <x:v>M2 candidate, four; no M3</x:v>
      </x:c>
      <x:c r="G33" s="10" t="str">
        <x:v>X pitch inferred square; Y32.512 verified; HOLD</x:v>
      </x:c>
    </x:row>
    <x:row r="34" ht="44" customHeight="1">
      <x:c r="A34" s="11" t="str">
        <x:v>J2</x:v>
      </x:c>
      <x:c r="B34" s="11" t="str">
        <x:v>Joystick in panel basis</x:v>
      </x:c>
      <x:c r="C34" s="15" t="n">
        <x:v>356.256</x:v>
      </x:c>
      <x:c r="D34" s="15" t="n">
        <x:v>121.744</x:v>
      </x:c>
      <x:c r="E34" s="11" t="str">
        <x:v>Part hole2.54; panelhole HOLD</x:v>
      </x:c>
      <x:c r="F34" s="11" t="str">
        <x:v>M2 candidate, four; no M3</x:v>
      </x:c>
      <x:c r="G34" s="11" t="str">
        <x:v>X pitch inferred square; Y32.512 verified; HOLD</x:v>
      </x:c>
    </x:row>
    <x:row r="35" ht="44" customHeight="1">
      <x:c r="A35" s="10" t="str">
        <x:v>J3</x:v>
      </x:c>
      <x:c r="B35" s="10" t="str">
        <x:v>Joystick in panel basis</x:v>
      </x:c>
      <x:c r="C35" s="14" t="n">
        <x:v>323.744</x:v>
      </x:c>
      <x:c r="D35" s="14" t="n">
        <x:v>154.256</x:v>
      </x:c>
      <x:c r="E35" s="10" t="str">
        <x:v>Part hole2.54; panelhole HOLD</x:v>
      </x:c>
      <x:c r="F35" s="10" t="str">
        <x:v>M2 candidate, four; no M3</x:v>
      </x:c>
      <x:c r="G35" s="10" t="str">
        <x:v>X pitch inferred square; Y32.512 verified; HOLD</x:v>
      </x:c>
    </x:row>
    <x:row r="36" ht="44" customHeight="1">
      <x:c r="A36" s="11" t="str">
        <x:v>J4</x:v>
      </x:c>
      <x:c r="B36" s="11" t="str">
        <x:v>Joystick in panel basis</x:v>
      </x:c>
      <x:c r="C36" s="15" t="n">
        <x:v>356.256</x:v>
      </x:c>
      <x:c r="D36" s="15" t="n">
        <x:v>154.256</x:v>
      </x:c>
      <x:c r="E36" s="11" t="str">
        <x:v>Part hole2.54; panelhole HOLD</x:v>
      </x:c>
      <x:c r="F36" s="11" t="str">
        <x:v>M2 candidate, four; no M3</x:v>
      </x:c>
      <x:c r="G36" s="11" t="str">
        <x:v>X pitch inferred square; Y32.512 verified; HOLD</x:v>
      </x:c>
    </x:row>
    <x:row r="37" ht="44" customHeight="1">
      <x:c r="A37" s="10" t="str">
        <x:v>W1</x:v>
      </x:c>
      <x:c r="B37" s="10" t="str">
        <x:v>W55 local PCB datum</x:v>
      </x:c>
      <x:c r="C37" s="14" t="n">
        <x:v>78</x:v>
      </x:c>
      <x:c r="D37" s="14" t="n">
        <x:v>3.5</x:v>
      </x:c>
      <x:c r="E37" s="10" t="str">
        <x:v>2.0 CAD-derived</x:v>
      </x:c>
      <x:c r="F37" s="10" t="str">
        <x:v>M1.6 candidate OR socket-supported carrier</x:v>
      </x:c>
      <x:c r="G37" s="10" t="str">
        <x:v>CAD reference; received board match HOLD</x:v>
      </x:c>
    </x:row>
    <x:row r="38" ht="44" customHeight="1">
      <x:c r="A38" s="11" t="str">
        <x:v>W2</x:v>
      </x:c>
      <x:c r="B38" s="11" t="str">
        <x:v>W55 local PCB datum</x:v>
      </x:c>
      <x:c r="C38" s="15" t="n">
        <x:v>78</x:v>
      </x:c>
      <x:c r="D38" s="15" t="n">
        <x:v>17.5</x:v>
      </x:c>
      <x:c r="E38" s="11" t="str">
        <x:v>2.0 CAD-derived</x:v>
      </x:c>
      <x:c r="F38" s="11" t="str">
        <x:v>M1.6 candidate OR socket-supported carrier</x:v>
      </x:c>
      <x:c r="G38" s="11" t="str">
        <x:v>CAD reference; received board match HOLD</x:v>
      </x:c>
    </x:row>
  </x:sheetData>
  <x:conditionalFormatting sqref="G7:G38">
    <x:cfRule type="containsText" dxfId="4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92ace7ca716b4a7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70" hidden="0" customWidth="1"/>
    <x:col min="5" max="5" width="28" hidden="0" customWidth="1"/>
    <x:col min="6" max="6" width="24" hidden="0" customWidth="1"/>
    <x:col min="7" max="7" width="75" hidden="0" customWidth="1"/>
    <x:col min="8" max="8" width="3" hidden="0" customWidth="1"/>
    <x:col min="9" max="9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Rear locations in global X,Z basis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Rear plane worldY=D. View from rear mirrorsX: Xrear=400-Xglobal. All cutouts HOLD. RS422 ports are not Ethernet.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9" t="str">
        <x:v>ID</x:v>
      </x:c>
      <x:c r="B6" s="9" t="str">
        <x:v>X mm</x:v>
      </x:c>
      <x:c r="C6" s="9" t="str">
        <x:v>Z mm</x:v>
      </x:c>
      <x:c r="D6" s="9" t="str">
        <x:v>Cutout reference</x:v>
      </x:c>
      <x:c r="E6" s="9" t="str">
        <x:v>Exact component</x:v>
      </x:c>
      <x:c r="F6" s="9" t="str">
        <x:v>Internal allowance mm</x:v>
      </x:c>
      <x:c r="G6" s="9" t="str">
        <x:v>Release / required measurement</x:v>
      </x:c>
      <x:c r="H6" s="9" t="str"/>
      <x:c r="I6" s="9" t="str">
        <x:v>Source URL</x:v>
      </x:c>
    </x:row>
    <x:row r="7" ht="44" customHeight="1">
      <x:c r="A7" s="10" t="str">
        <x:v>RS1</x:v>
      </x:c>
      <x:c r="B7" s="14" t="n">
        <x:v>40</x:v>
      </x:c>
      <x:c r="C7" s="14" t="n">
        <x:v>42</x:v>
      </x:c>
      <x:c r="D7" s="10" t="str">
        <x:v>16.129x13.208 uncoated; R0.254</x:v>
      </x:c>
      <x:c r="E7" s="10" t="str">
        <x:v>RJHSE5080</x:v>
      </x:c>
      <x:c r="F7" s="10" t="n">
        <x:v>35</x:v>
      </x:c>
      <x:c r="G7" s="10" t="str">
        <x:v>HOLD: finished aperture + PCB datum</x:v>
      </x:c>
      <x:c r="H7" s="10" t="str"/>
      <x:c r="I7" s="10" t="str">
        <x:v>https://cdn.amphenol-cs.com/media/wysiwyg/files/drawing/p-rjhse-5080.pdf</x:v>
      </x:c>
    </x:row>
    <x:row r="8" ht="44" customHeight="1">
      <x:c r="A8" s="11" t="str">
        <x:v>RS2</x:v>
      </x:c>
      <x:c r="B8" s="15" t="n">
        <x:v>66</x:v>
      </x:c>
      <x:c r="C8" s="15" t="n">
        <x:v>42</x:v>
      </x:c>
      <x:c r="D8" s="11" t="str">
        <x:v>16.129x13.208 uncoated; R0.254</x:v>
      </x:c>
      <x:c r="E8" s="11" t="str">
        <x:v>RJHSE5080</x:v>
      </x:c>
      <x:c r="F8" s="11" t="n">
        <x:v>35</x:v>
      </x:c>
      <x:c r="G8" s="11" t="str">
        <x:v>HOLD</x:v>
      </x:c>
      <x:c r="H8" s="11" t="str"/>
      <x:c r="I8" s="11" t="str">
        <x:v>https://cdn.amphenol-cs.com/media/wysiwyg/files/drawing/p-rjhse-5080.pdf</x:v>
      </x:c>
    </x:row>
    <x:row r="9" ht="44" customHeight="1">
      <x:c r="A9" s="10" t="str">
        <x:v>RS3</x:v>
      </x:c>
      <x:c r="B9" s="14" t="n">
        <x:v>92</x:v>
      </x:c>
      <x:c r="C9" s="14" t="n">
        <x:v>42</x:v>
      </x:c>
      <x:c r="D9" s="10" t="str">
        <x:v>16.129x13.208 uncoated; R0.254</x:v>
      </x:c>
      <x:c r="E9" s="10" t="str">
        <x:v>RJHSE5080</x:v>
      </x:c>
      <x:c r="F9" s="10" t="n">
        <x:v>35</x:v>
      </x:c>
      <x:c r="G9" s="10" t="str">
        <x:v>HOLD</x:v>
      </x:c>
      <x:c r="H9" s="10" t="str"/>
      <x:c r="I9" s="10" t="str">
        <x:v>https://cdn.amphenol-cs.com/media/wysiwyg/files/drawing/p-rjhse-5080.pdf</x:v>
      </x:c>
    </x:row>
    <x:row r="10" ht="44" customHeight="1">
      <x:c r="A10" s="11" t="str">
        <x:v>RS4</x:v>
      </x:c>
      <x:c r="B10" s="15" t="n">
        <x:v>118</x:v>
      </x:c>
      <x:c r="C10" s="15" t="n">
        <x:v>42</x:v>
      </x:c>
      <x:c r="D10" s="11" t="str">
        <x:v>16.129x13.208 uncoated; R0.254</x:v>
      </x:c>
      <x:c r="E10" s="11" t="str">
        <x:v>RJHSE5080</x:v>
      </x:c>
      <x:c r="F10" s="11" t="n">
        <x:v>35</x:v>
      </x:c>
      <x:c r="G10" s="11" t="str">
        <x:v>HOLD</x:v>
      </x:c>
      <x:c r="H10" s="11" t="str"/>
      <x:c r="I10" s="11" t="str">
        <x:v>https://cdn.amphenol-cs.com/media/wysiwyg/files/drawing/p-rjhse-5080.pdf</x:v>
      </x:c>
    </x:row>
    <x:row r="11" ht="34" customHeight="1">
      <x:c r="A11" s="10" t="str">
        <x:v>LAN</x:v>
      </x:c>
      <x:c r="B11" s="14" t="n">
        <x:v>258</x:v>
      </x:c>
      <x:c r="C11" s="14" t="n">
        <x:v>42</x:v>
      </x:c>
      <x:c r="D11" s="10" t="str">
        <x:v>HOLD: integrated W55 jack, not RJHSE5080 opening</x:v>
      </x:c>
      <x:c r="E11" s="10" t="str">
        <x:v>W55RJ45</x:v>
      </x:c>
      <x:c r="F11" s="10" t="n">
        <x:v>100</x:v>
      </x:c>
      <x:c r="G11" s="10" t="str">
        <x:v>HOLD: model orientation, connector stack &amp; bracket</x:v>
      </x:c>
      <x:c r="H11" s="10" t="str"/>
      <x:c r="I11" s="10" t="str">
        <x:v>https://docs.wiznet.io/Product/Chip/MCU/W55RP20/w55rp20-evb-pico</x:v>
      </x:c>
    </x:row>
    <x:row r="12" ht="34" customHeight="1">
      <x:c r="A12" s="11" t="str">
        <x:v>DC</x:v>
      </x:c>
      <x:c r="B12" s="15" t="n">
        <x:v>310</x:v>
      </x:c>
      <x:c r="C12" s="15" t="n">
        <x:v>42</x:v>
      </x:c>
      <x:c r="D12" s="11" t="str">
        <x:v>HOLD exact selected panel jack</x:v>
      </x:c>
      <x:c r="E12" s="11" t="str">
        <x:v>TBD</x:v>
      </x:c>
      <x:c r="F12" s="11" t="n">
        <x:v>35</x:v>
      </x:c>
      <x:c r="G12" s="11" t="str">
        <x:v>HOLD</x:v>
      </x:c>
      <x:c r="H12" s="11" t="str"/>
      <x:c r="I12" s="11" t="str"/>
    </x:row>
    <x:row r="13" ht="34" customHeight="1">
      <x:c r="A13" s="10" t="str">
        <x:v>USB</x:v>
      </x:c>
      <x:c r="B13" s="14" t="n">
        <x:v>354</x:v>
      </x:c>
      <x:c r="C13" s="14" t="n">
        <x:v>42</x:v>
      </x:c>
      <x:c r="D13" s="10" t="str">
        <x:v>HOLD exact bulkhead extension or access hatch</x:v>
      </x:c>
      <x:c r="E13" s="10" t="str">
        <x:v>TBD</x:v>
      </x:c>
      <x:c r="F13" s="10" t="n">
        <x:v>35</x:v>
      </x:c>
      <x:c r="G13" s="10" t="str">
        <x:v>HOLD: no bare guessed USB-C cutout</x:v>
      </x:c>
      <x:c r="H13" s="10" t="str"/>
      <x:c r="I13" s="10" t="str"/>
    </x:row>
  </x:sheetData>
  <x:conditionalFormatting sqref="G7:G13">
    <x:cfRule type="containsText" dxfId="5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c8a18d4b1bd84a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70" hidden="0" customWidth="1"/>
    <x:col min="4" max="4" width="40" hidden="0" customWidth="1"/>
    <x:col min="5" max="5" width="6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W55RP20 external signals: static candidate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5" t="str">
        <x:v>19 external GPIO only. Shared GP15 is global disable, not LED PWM. Additional32 LED bits do not require extra GPIO.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6" customHeight="1">
      <x:c r="A6" s="9" t="str">
        <x:v>Header pad</x:v>
      </x:c>
      <x:c r="B6" s="9" t="str">
        <x:v>GPIO</x:v>
      </x:c>
      <x:c r="C6" s="9" t="str">
        <x:v>Assigned signal</x:v>
      </x:c>
      <x:c r="D6" s="9" t="str">
        <x:v>Peripheral</x:v>
      </x:c>
      <x:c r="E6" s="9" t="str">
        <x:v>Verification</x:v>
      </x:c>
    </x:row>
    <x:row r="7" ht="34" customHeight="1">
      <x:c r="A7" s="10" t="n">
        <x:v>1</x:v>
      </x:c>
      <x:c r="B7" s="10" t="n">
        <x:v>0</x:v>
      </x:c>
      <x:c r="C7" s="10" t="str">
        <x:v>Camera 1 TX</x:v>
      </x:c>
      <x:c r="D7" s="10" t="str">
        <x:v>UART0 TX</x:v>
      </x:c>
      <x:c r="E7" s="10" t="str">
        <x:v>Static allocation only; not built</x:v>
      </x:c>
    </x:row>
    <x:row r="8" ht="34" customHeight="1">
      <x:c r="A8" s="11" t="n">
        <x:v>2</x:v>
      </x:c>
      <x:c r="B8" s="11" t="n">
        <x:v>1</x:v>
      </x:c>
      <x:c r="C8" s="11" t="str">
        <x:v>Camera 1 RX</x:v>
      </x:c>
      <x:c r="D8" s="11" t="str">
        <x:v>UART0 RX</x:v>
      </x:c>
      <x:c r="E8" s="11" t="str">
        <x:v>Static allocation only; not built</x:v>
      </x:c>
    </x:row>
    <x:row r="9" ht="34" customHeight="1">
      <x:c r="A9" s="10" t="n">
        <x:v>4</x:v>
      </x:c>
      <x:c r="B9" s="10" t="n">
        <x:v>2</x:v>
      </x:c>
      <x:c r="C9" s="10" t="str">
        <x:v>SCAN_CLK</x:v>
      </x:c>
      <x:c r="D9" s="10" t="str">
        <x:v>SIO</x:v>
      </x:c>
      <x:c r="E9" s="10" t="str">
        <x:v>Static allocation only; not built</x:v>
      </x:c>
    </x:row>
    <x:row r="10" ht="34" customHeight="1">
      <x:c r="A10" s="11" t="n">
        <x:v>5</x:v>
      </x:c>
      <x:c r="B10" s="11" t="n">
        <x:v>3</x:v>
      </x:c>
      <x:c r="C10" s="11" t="str">
        <x:v>SCAN_nPL</x:v>
      </x:c>
      <x:c r="D10" s="11" t="str">
        <x:v>SIO</x:v>
      </x:c>
      <x:c r="E10" s="11" t="str">
        <x:v>Static allocation only; not built</x:v>
      </x:c>
    </x:row>
    <x:row r="11" ht="34" customHeight="1">
      <x:c r="A11" s="10" t="n">
        <x:v>6</x:v>
      </x:c>
      <x:c r="B11" s="10" t="n">
        <x:v>4</x:v>
      </x:c>
      <x:c r="C11" s="10" t="str">
        <x:v>Display TX</x:v>
      </x:c>
      <x:c r="D11" s="10" t="str">
        <x:v>UART1 TX</x:v>
      </x:c>
      <x:c r="E11" s="10" t="str">
        <x:v>Static allocation only; not built</x:v>
      </x:c>
    </x:row>
    <x:row r="12" ht="34" customHeight="1">
      <x:c r="A12" s="11" t="n">
        <x:v>7</x:v>
      </x:c>
      <x:c r="B12" s="11" t="n">
        <x:v>5</x:v>
      </x:c>
      <x:c r="C12" s="11" t="str">
        <x:v>Display RX</x:v>
      </x:c>
      <x:c r="D12" s="11" t="str">
        <x:v>UART1 RX</x:v>
      </x:c>
      <x:c r="E12" s="11" t="str">
        <x:v>Static allocation only; not built</x:v>
      </x:c>
    </x:row>
    <x:row r="13" ht="34" customHeight="1">
      <x:c r="A13" s="10" t="n">
        <x:v>9</x:v>
      </x:c>
      <x:c r="B13" s="10" t="n">
        <x:v>6</x:v>
      </x:c>
      <x:c r="C13" s="10" t="str">
        <x:v>Camera 2 TX</x:v>
      </x:c>
      <x:c r="D13" s="10" t="str">
        <x:v>PIO1 SM1 TX</x:v>
      </x:c>
      <x:c r="E13" s="10" t="str">
        <x:v>Static allocation only; not built</x:v>
      </x:c>
    </x:row>
    <x:row r="14" ht="34" customHeight="1">
      <x:c r="A14" s="11" t="n">
        <x:v>10</x:v>
      </x:c>
      <x:c r="B14" s="11" t="n">
        <x:v>7</x:v>
      </x:c>
      <x:c r="C14" s="11" t="str">
        <x:v>Camera 2 RX</x:v>
      </x:c>
      <x:c r="D14" s="11" t="str">
        <x:v>PIO0 SM0 RX</x:v>
      </x:c>
      <x:c r="E14" s="11" t="str">
        <x:v>Static allocation only; not built</x:v>
      </x:c>
    </x:row>
    <x:row r="15" ht="34" customHeight="1">
      <x:c r="A15" s="10" t="n">
        <x:v>11</x:v>
      </x:c>
      <x:c r="B15" s="10" t="n">
        <x:v>8</x:v>
      </x:c>
      <x:c r="C15" s="10" t="str">
        <x:v>Camera 3 TX</x:v>
      </x:c>
      <x:c r="D15" s="10" t="str">
        <x:v>PIO1 SM2 TX</x:v>
      </x:c>
      <x:c r="E15" s="10" t="str">
        <x:v>Static allocation only; not built</x:v>
      </x:c>
    </x:row>
    <x:row r="16" ht="34" customHeight="1">
      <x:c r="A16" s="11" t="n">
        <x:v>12</x:v>
      </x:c>
      <x:c r="B16" s="11" t="n">
        <x:v>9</x:v>
      </x:c>
      <x:c r="C16" s="11" t="str">
        <x:v>Camera 3 RX</x:v>
      </x:c>
      <x:c r="D16" s="11" t="str">
        <x:v>PIO0 SM1 RX</x:v>
      </x:c>
      <x:c r="E16" s="11" t="str">
        <x:v>Static allocation only; not built</x:v>
      </x:c>
    </x:row>
    <x:row r="17" ht="34" customHeight="1">
      <x:c r="A17" s="10" t="n">
        <x:v>14</x:v>
      </x:c>
      <x:c r="B17" s="10" t="n">
        <x:v>10</x:v>
      </x:c>
      <x:c r="C17" s="10" t="str">
        <x:v>Camera 4 TX</x:v>
      </x:c>
      <x:c r="D17" s="10" t="str">
        <x:v>PIO1 SM3 TX</x:v>
      </x:c>
      <x:c r="E17" s="10" t="str">
        <x:v>Static allocation only; not built</x:v>
      </x:c>
    </x:row>
    <x:row r="18" ht="34" customHeight="1">
      <x:c r="A18" s="11" t="n">
        <x:v>15</x:v>
      </x:c>
      <x:c r="B18" s="11" t="n">
        <x:v>11</x:v>
      </x:c>
      <x:c r="C18" s="11" t="str">
        <x:v>Camera 4 RX</x:v>
      </x:c>
      <x:c r="D18" s="11" t="str">
        <x:v>PIO0 SM2 RX</x:v>
      </x:c>
      <x:c r="E18" s="11" t="str">
        <x:v>Static allocation only; not built</x:v>
      </x:c>
    </x:row>
    <x:row r="19" ht="34" customHeight="1">
      <x:c r="A19" s="10" t="n">
        <x:v>16</x:v>
      </x:c>
      <x:c r="B19" s="10" t="n">
        <x:v>12</x:v>
      </x:c>
      <x:c r="C19" s="10" t="str">
        <x:v>SCAN_QH</x:v>
      </x:c>
      <x:c r="D19" s="10" t="str">
        <x:v>SIO</x:v>
      </x:c>
      <x:c r="E19" s="10" t="str">
        <x:v>Static allocation only; not built</x:v>
      </x:c>
    </x:row>
    <x:row r="20" ht="34" customHeight="1">
      <x:c r="A20" s="11" t="n">
        <x:v>17</x:v>
      </x:c>
      <x:c r="B20" s="11" t="n">
        <x:v>13</x:v>
      </x:c>
      <x:c r="C20" s="11" t="str">
        <x:v>LED_DATA</x:v>
      </x:c>
      <x:c r="D20" s="11" t="str">
        <x:v>SIO</x:v>
      </x:c>
      <x:c r="E20" s="11" t="str">
        <x:v>Static allocation only; not built</x:v>
      </x:c>
    </x:row>
    <x:row r="21" ht="34" customHeight="1">
      <x:c r="A21" s="10" t="n">
        <x:v>19</x:v>
      </x:c>
      <x:c r="B21" s="10" t="n">
        <x:v>14</x:v>
      </x:c>
      <x:c r="C21" s="10" t="str">
        <x:v>LED_LATCH</x:v>
      </x:c>
      <x:c r="D21" s="10" t="str">
        <x:v>SIO</x:v>
      </x:c>
      <x:c r="E21" s="10" t="str">
        <x:v>Static allocation only; not built</x:v>
      </x:c>
    </x:row>
    <x:row r="22" ht="34" customHeight="1">
      <x:c r="A22" s="11" t="n">
        <x:v>20</x:v>
      </x:c>
      <x:c r="B22" s="11" t="n">
        <x:v>15</x:v>
      </x:c>
      <x:c r="C22" s="11" t="str">
        <x:v>IO_nENABLE</x:v>
      </x:c>
      <x:c r="D22" s="11" t="str">
        <x:v>SIO</x:v>
      </x:c>
      <x:c r="E22" s="11" t="str">
        <x:v>Static allocation only; not built</x:v>
      </x:c>
    </x:row>
    <x:row r="23" ht="34" customHeight="1">
      <x:c r="A23" s="10" t="n">
        <x:v>31</x:v>
      </x:c>
      <x:c r="B23" s="10" t="n">
        <x:v>26</x:v>
      </x:c>
      <x:c r="C23" s="10" t="str">
        <x:v>JOY_X</x:v>
      </x:c>
      <x:c r="D23" s="10" t="str">
        <x:v>ADC0</x:v>
      </x:c>
      <x:c r="E23" s="10" t="str">
        <x:v>Static allocation only; not built</x:v>
      </x:c>
    </x:row>
    <x:row r="24" ht="34" customHeight="1">
      <x:c r="A24" s="11" t="n">
        <x:v>32</x:v>
      </x:c>
      <x:c r="B24" s="11" t="n">
        <x:v>27</x:v>
      </x:c>
      <x:c r="C24" s="11" t="str">
        <x:v>JOY_Y</x:v>
      </x:c>
      <x:c r="D24" s="11" t="str">
        <x:v>ADC1</x:v>
      </x:c>
      <x:c r="E24" s="11" t="str">
        <x:v>Static allocation only; not built</x:v>
      </x:c>
    </x:row>
    <x:row r="25" ht="34" customHeight="1">
      <x:c r="A25" s="10" t="n">
        <x:v>34</x:v>
      </x:c>
      <x:c r="B25" s="10" t="n">
        <x:v>28</x:v>
      </x:c>
      <x:c r="C25" s="10" t="str">
        <x:v>JOY_Z</x:v>
      </x:c>
      <x:c r="D25" s="10" t="str">
        <x:v>ADC2</x:v>
      </x:c>
      <x:c r="E25" s="10" t="str">
        <x:v>Static allocation only; not built</x:v>
      </x:c>
    </x:row>
  </x:sheetData>
  <x:pageMargins left="0.7" right="0.7" top="0.75" bottom="0.75" header="0.3" footer="0.3"/>
  <x:tableParts count="1">
    <x:tablePart xmlns:r="http://schemas.openxmlformats.org/officeDocument/2006/relationships" r:id="R3bf6b1783e05442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48" hidden="0" customWidth="1"/>
    <x:col min="4" max="4" width="14" hidden="0" customWidth="1"/>
    <x:col min="5" max="5" width="17" hidden="0" customWidth="1"/>
    <x:col min="6" max="6" width="18" hidden="0" customWidth="1"/>
    <x:col min="7" max="7" width="58" hidden="0" customWidth="1"/>
    <x:col min="8" max="8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Internal locations and reserved assembly volumes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5" t="str">
        <x:v>Every location/volume is a proposal. A reservation is not a fabricated PCB. Heights and overlapping mating assemblies require native3D review.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9" t="str">
        <x:v>ID</x:v>
      </x:c>
      <x:c r="B6" s="9" t="str">
        <x:v>Assembly</x:v>
      </x:c>
      <x:c r="C6" s="9" t="str">
        <x:v>Datum basis</x:v>
      </x:c>
      <x:c r="D6" s="9" t="str">
        <x:v>X mm</x:v>
      </x:c>
      <x:c r="E6" s="9" t="str">
        <x:v>Y / slope mm</x:v>
      </x:c>
      <x:c r="F6" s="9" t="str">
        <x:v>Z / normal mm</x:v>
      </x:c>
      <x:c r="G6" s="9" t="str">
        <x:v>Reserved volume</x:v>
      </x:c>
      <x:c r="H6" s="9" t="str">
        <x:v>Remaining verification</x:v>
      </x:c>
    </x:row>
    <x:row r="7" ht="34" customHeight="1">
      <x:c r="A7" s="10" t="str">
        <x:v>I-MAIN</x:v>
      </x:c>
      <x:c r="B7" s="10" t="str">
        <x:v>Main / protected power carrier</x:v>
      </x:c>
      <x:c r="C7" s="10" t="str">
        <x:v>World X,Y; proposed PCB-topZ</x:v>
      </x:c>
      <x:c r="D7" s="14" t="n">
        <x:v>230</x:v>
      </x:c>
      <x:c r="E7" s="14" t="n">
        <x:v>100</x:v>
      </x:c>
      <x:c r="F7" s="14" t="n">
        <x:v>15</x:v>
      </x:c>
      <x:c r="G7" s="10" t="str">
        <x:v>120x90x30 reservation</x:v>
      </x:c>
      <x:c r="H7" s="10" t="str">
        <x:v>HOLD: exact PCB outline, posts and component heights; not a completed carrier</x:v>
      </x:c>
    </x:row>
    <x:row r="8" ht="44" customHeight="1">
      <x:c r="A8" s="11" t="str">
        <x:v>I-W55</x:v>
      </x:c>
      <x:c r="B8" s="11" t="str">
        <x:v>W55 module corridor</x:v>
      </x:c>
      <x:c r="C8" s="11" t="str">
        <x:v>World X,Y; trial PCB-topZ</x:v>
      </x:c>
      <x:c r="D8" s="15" t="n">
        <x:v>258</x:v>
      </x:c>
      <x:c r="E8" s="15" t="n">
        <x:v>185</x:v>
      </x:c>
      <x:c r="F8" s="15" t="n">
        <x:v>35</x:v>
      </x:c>
      <x:c r="G8" s="11" t="str">
        <x:v>32x100x45 reservation</x:v>
      </x:c>
      <x:c r="H8" s="11" t="str">
        <x:v>HOLD: orientation Ethernet rearward, USB forward. Match actual jack-mouthZ42 and support/socket stack; no collision claim</x:v>
      </x:c>
    </x:row>
    <x:row r="9" ht="44" customHeight="1">
      <x:c r="A9" s="10" t="str">
        <x:v>I-RS</x:v>
      </x:c>
      <x:c r="B9" s="10" t="str">
        <x:v>Four serial-jack board</x:v>
      </x:c>
      <x:c r="C9" s="10" t="str">
        <x:v>World X,Y; conditional PCB-topZ</x:v>
      </x:c>
      <x:c r="D9" s="14" t="n">
        <x:v>79</x:v>
      </x:c>
      <x:c r="E9" s="14" t="n">
        <x:v>210</x:v>
      </x:c>
      <x:c r="F9" s="14" t="n">
        <x:v>35.396</x:v>
      </x:c>
      <x:c r="G9" s="10" t="str">
        <x:v>112x35x25 reservation</x:v>
      </x:c>
      <x:c r="H9" s="10" t="str">
        <x:v>HOLD: Z42-13.208/2 assumes jack mouth centred above PCB datum. Confirm exact drawing datum, feet and board support</x:v>
      </x:c>
    </x:row>
    <x:row r="10" ht="44" customHeight="1">
      <x:c r="A10" s="11" t="str">
        <x:v>I-KEY-L</x:v>
      </x:c>
      <x:c r="B10" s="11" t="str">
        <x:v>Left control-board region</x:v>
      </x:c>
      <x:c r="C10" s="11" t="str">
        <x:v>Panel X,s; lower reserve normalN</x:v>
      </x:c>
      <x:c r="D10" s="15" t="n">
        <x:v>92</x:v>
      </x:c>
      <x:c r="E10" s="15" t="n">
        <x:v>115</x:v>
      </x:c>
      <x:c r="F10" s="15" t="n">
        <x:v>-35</x:v>
      </x:c>
      <x:c r="G10" s="11" t="str">
        <x:v>164x210x35 reservation</x:v>
      </x:c>
      <x:c r="H10" s="11" t="str">
        <x:v>HOLD: reservation, not one PCB outline. Mixed APEM/B32/encoder stacks may need separate planes/daughterboards</x:v>
      </x:c>
    </x:row>
    <x:row r="11" ht="44" customHeight="1">
      <x:c r="A11" s="10" t="str">
        <x:v>I-KEY-R</x:v>
      </x:c>
      <x:c r="B11" s="10" t="str">
        <x:v>CAM/speed/LOCK control-board region</x:v>
      </x:c>
      <x:c r="C11" s="10" t="str">
        <x:v>Panel X,s; lower reserve normalN</x:v>
      </x:c>
      <x:c r="D11" s="14" t="n">
        <x:v>284</x:v>
      </x:c>
      <x:c r="E11" s="14" t="n">
        <x:v>41</x:v>
      </x:c>
      <x:c r="F11" s="14" t="n">
        <x:v>-35</x:v>
      </x:c>
      <x:c r="G11" s="10" t="str">
        <x:v>212x62x35 reservation</x:v>
      </x:c>
      <x:c r="H11" s="10" t="str">
        <x:v>HOLD: not a finalized board. Keep the joystick underside region free; actual connectors and mounts open</x:v>
      </x:c>
    </x:row>
    <x:row r="12" ht="44" customHeight="1">
      <x:c r="A12" s="11" t="str">
        <x:v>I-DISPLAY</x:v>
      </x:c>
      <x:c r="B12" s="11" t="str">
        <x:v>Display bracket / cable</x:v>
      </x:c>
      <x:c r="C12" s="11" t="str">
        <x:v>Panel X,s; normal datum unknown</x:v>
      </x:c>
      <x:c r="D12" s="15" t="n">
        <x:v>230</x:v>
      </x:c>
      <x:c r="E12" s="15" t="n">
        <x:v>182</x:v>
      </x:c>
      <x:c r="F12" s="15"/>
      <x:c r="G12" s="11" t="str">
        <x:v>102x60x25 trial reserve</x:v>
      </x:c>
      <x:c r="H12" s="11" t="str">
        <x:v>HOLD: actual bezel, gasket, glass and PCB stack determine support plane; rear plug may require more</x:v>
      </x:c>
    </x:row>
    <x:row r="13" ht="44" customHeight="1">
      <x:c r="A13" s="10" t="str">
        <x:v>I-JOY</x:v>
      </x:c>
      <x:c r="B13" s="10" t="str">
        <x:v>Joystick / wire exclusion</x:v>
      </x:c>
      <x:c r="C13" s="10" t="str">
        <x:v>Panel X,s; flange undersideN0</x:v>
      </x:c>
      <x:c r="D13" s="14" t="n">
        <x:v>340</x:v>
      </x:c>
      <x:c r="E13" s="14" t="n">
        <x:v>138</x:v>
      </x:c>
      <x:c r="F13" s="14" t="n">
        <x:v>0</x:v>
      </x:c>
      <x:c r="G13" s="10" t="str">
        <x:v>Known28.575 below flange; reserve40 normal</x:v>
      </x:c>
      <x:c r="H13" s="10" t="str">
        <x:v>HOLD: known body width49.5046; other axis/tabs/sweep unknown; no electronics through this volume</x:v>
      </x:c>
    </x:row>
    <x:row r="14" ht="34" customHeight="1">
      <x:c r="A14" s="11" t="str">
        <x:v>I-DC</x:v>
      </x:c>
      <x:c r="B14" s="11" t="str">
        <x:v>DC input/fuse/service region</x:v>
      </x:c>
      <x:c r="C14" s="11" t="str">
        <x:v>World X,Y; bracketZunknown</x:v>
      </x:c>
      <x:c r="D14" s="15" t="n">
        <x:v>310</x:v>
      </x:c>
      <x:c r="E14" s="15" t="n">
        <x:v>207</x:v>
      </x:c>
      <x:c r="F14" s="15"/>
      <x:c r="G14" s="11" t="str">
        <x:v>32x35x35 trial reserve</x:v>
      </x:c>
      <x:c r="H14" s="11" t="str">
        <x:v>HOLD: exact jack/fuse/USB power topology, withdrawal and harness path; avoid joystick wiring</x:v>
      </x:c>
    </x:row>
    <x:row r="15" ht="34" customHeight="1">
      <x:c r="A15" s="10" t="str">
        <x:v>I-USB</x:v>
      </x:c>
      <x:c r="B15" s="10" t="str">
        <x:v>USB service extension or hatch</x:v>
      </x:c>
      <x:c r="C15" s="10" t="str">
        <x:v>World X,Y; bracketZunknown</x:v>
      </x:c>
      <x:c r="D15" s="14" t="n">
        <x:v>354</x:v>
      </x:c>
      <x:c r="E15" s="14" t="n">
        <x:v>207</x:v>
      </x:c>
      <x:c r="F15" s="14"/>
      <x:c r="G15" s="10" t="str">
        <x:v>32x35x35 trial reserve</x:v>
      </x:c>
      <x:c r="H15" s="10" t="str">
        <x:v>HOLD: exact bulkhead part and cable extension or bottom access; not a guessed USB opening</x:v>
      </x:c>
    </x:row>
  </x:sheetData>
  <x:conditionalFormatting sqref="H7:H15">
    <x:cfRule type="containsText" dxfId="6" priority="1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fa550160f4a34f3b"/>
  </x:tableParts>
</x:worksheet>
</file>